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Інструкція" sheetId="1" state="visible" r:id="rId3"/>
    <sheet name="Зміни" sheetId="2" state="visible" r:id="rId4"/>
    <sheet name="Норми" sheetId="3" state="visible" r:id="rId5"/>
    <sheet name="Зведення" sheetId="4" state="visible" r:id="rId6"/>
    <sheet name="Графік Зал" sheetId="5" state="visible" r:id="rId7"/>
    <sheet name="Графік Кухня" sheetId="6" state="visible" r:id="rId8"/>
  </sheets>
  <definedNames>
    <definedName function="false" hidden="false" localSheetId="4" name="_xlnm.Print_Titles" vbProcedure="false">'Графік Зал'!$4:$6</definedName>
    <definedName function="false" hidden="false" localSheetId="5" name="_xlnm.Print_Titles" vbProcedure="false">'Графік Кухня'!$4:$6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9" authorId="0">
      <text>
        <r>
          <rPr>
            <sz val="10"/>
            <rFont val="Arial"/>
            <family val="2"/>
          </rPr>
          <t xml:space="preserve">22 робочі дні жовтня 2026 × 8 год (40-годинний тиждень). Підтвердити з бухгалтерією/HR.</t>
        </r>
      </text>
    </comment>
  </commentList>
</comments>
</file>

<file path=xl/sharedStrings.xml><?xml version="1.0" encoding="utf-8"?>
<sst xmlns="http://schemas.openxmlformats.org/spreadsheetml/2006/main" count="1516" uniqueCount="207">
  <si>
    <t xml:space="preserve">BEEF — графік роботи персоналу, жовтень 2026</t>
  </si>
  <si>
    <t xml:space="preserve">Робочий документ для менеджменту. Версія 1.0. Чисельність і норми — проєктні, підлягають калібруванню за фактичними даними.</t>
  </si>
  <si>
    <t xml:space="preserve">Режим роботи ресторану</t>
  </si>
  <si>
    <t xml:space="preserve">Неділя, понеділок, вівторок — 10:00–22:00. Середа, четвер, п'ятниця, субота — 10:00–23:00.</t>
  </si>
  <si>
    <t xml:space="preserve">Як побудовано графік</t>
  </si>
  <si>
    <t xml:space="preserve">1. Завантаження оцінено за днями тижня (аркуш «Норми»): Пн–Вт низьке, Ср середнє, Чт і Нд високе, Пт–Сб пікове.</t>
  </si>
  <si>
    <t xml:space="preserve">2. Для кожної посади задано норму: скільки людей потрібно на кожну зміну в кожен день тижня.</t>
  </si>
  <si>
    <t xml:space="preserve">3. Замість двох довгих змін використано чотири типи змін (аркуш «Зміни»): ранкова, середня, вечірня та пікова. Це дає змогу додавати людей лише в години піку, а не на весь день — фонд годин витрачається там, де є гості.</t>
  </si>
  <si>
    <t xml:space="preserve">4. Розподіл змін між співробітниками виконано алгоритмом оптимізації з жорсткими правилами (нижче). Години в межах посади вирівняні, п'ятниці та суботи розподілені рівномірно.</t>
  </si>
  <si>
    <t xml:space="preserve">Обов'язкові правила графіка</t>
  </si>
  <si>
    <t xml:space="preserve">• Після вечірньої (В), середньої (С) або пікової (П) зміни наступного дня ранкова (Р) зміна заборонена. Причина: ст. 59 КЗпП — перерва між змінами не менше подвійної тривалості попередньої зміни; крім того, працівник після закриття о 23:30 не може якісно відкрити зал о 09:30.</t>
  </si>
  <si>
    <t xml:space="preserve">• Не більше 5 робочих днів поспіль (щотижневий безперервний відпочинок, ст. 70 КЗпП).</t>
  </si>
  <si>
    <t xml:space="preserve">• Вихідні — переважно парами; кожен співробітник має щонайменше один вихідний у Пт/Сб/Нд за місяць.</t>
  </si>
  <si>
    <t xml:space="preserve">Як користуватися файлом</t>
  </si>
  <si>
    <t xml:space="preserve">• Жовті клітинки — для заповнення: замініть «Офіціант 1» тощо на прізвища та ім'я співробітників.</t>
  </si>
  <si>
    <t xml:space="preserve">• Сині значення — вхідні параметри (норми, години змін, норма годин місяця). Їх можна змінювати.</t>
  </si>
  <si>
    <t xml:space="preserve">• Коди змін у графіку можна змінювати вручну (Р, С, В, П; порожня клітинка — вихідний). Години, підсумки та рядки «Контроль» перераховуються автоматично.</t>
  </si>
  <si>
    <t xml:space="preserve">• Рядок «Контроль» під кожною посадою: «✓» — покриття відповідає нормі; від'ємне число (червоне) — бракує людей на зміну; додатне (жовте) — людей більше за норму.</t>
  </si>
  <si>
    <t xml:space="preserve">• Приклад: Офіціант 3 у суботу має «П» — він виходить о 17:30 і працює до 23:30, підсилюючи вечірній пік.</t>
  </si>
  <si>
    <t xml:space="preserve">Що потрібно для точного калібрування (наступна версія)</t>
  </si>
  <si>
    <t xml:space="preserve">1. Фактичні дані POS за останні 8–12 тижнів: кількість гостей (covers) і чеків по годинах і днях тижня.</t>
  </si>
  <si>
    <t xml:space="preserve">2. Кількість посадкових місць і столів, зони обслуговування, плановані банкети жовтня.</t>
  </si>
  <si>
    <t xml:space="preserve">3. Фактичний штат: прізвища, посади, ставки, відпустки, обмеження (навчання, сумісництво).</t>
  </si>
  <si>
    <t xml:space="preserve">4. Цільовий стандарт навантаження: скільки столів/гостей закріплюється за одним офіціантом у пік.</t>
  </si>
  <si>
    <t xml:space="preserve">Важливі примітки</t>
  </si>
  <si>
    <t xml:space="preserve">• Чисельність команд у файлі — розрахункова (сума змін за місяць / ≈23,5 зміни на людину, але не менше за кількість людей у найнапруженіший день). Це не фактичний штат ресторану.</t>
  </si>
  <si>
    <t xml:space="preserve">• Норма робочого часу жовтня 2026 при 40-годинному тижні — 176 год (22 робочі дні). Під час воєнного стану святкові дні не є вихідними. Значення та облік (рекомендовано підсумований облік робочого часу) необхідно підтвердити з бухгалтерією/HR.</t>
  </si>
  <si>
    <t xml:space="preserve">• Години змін у файлі — тривалість зміни від початку до кінця. Порядок обліку перерви на харчування персоналу визначається внутрішніми правилами трудового розпорядку.</t>
  </si>
  <si>
    <t xml:space="preserve">• Офіціанти, сомельє та бармени отримують на щоденному брифінгу (09:40 і 16:10) розподіл зон і стоп-лист; час брифінгу вже входить у зміну.</t>
  </si>
  <si>
    <t xml:space="preserve">Типи змін, час і години</t>
  </si>
  <si>
    <t xml:space="preserve">Час роботи ресторану: Нд–Вт 10:00–22:00; Ср–Сб 10:00–23:00. Персонал приходить за 30 хв до відкриття і залишається 30 хв після закриття.</t>
  </si>
  <si>
    <t xml:space="preserve">Код</t>
  </si>
  <si>
    <t xml:space="preserve">Зміна</t>
  </si>
  <si>
    <t xml:space="preserve">Пн</t>
  </si>
  <si>
    <t xml:space="preserve">Вт</t>
  </si>
  <si>
    <t xml:space="preserve">Ср</t>
  </si>
  <si>
    <t xml:space="preserve">Чт</t>
  </si>
  <si>
    <t xml:space="preserve">Пт</t>
  </si>
  <si>
    <t xml:space="preserve">Сб</t>
  </si>
  <si>
    <t xml:space="preserve">Нд</t>
  </si>
  <si>
    <t xml:space="preserve">Призначення</t>
  </si>
  <si>
    <t xml:space="preserve">Р</t>
  </si>
  <si>
    <t xml:space="preserve">Ранкова</t>
  </si>
  <si>
    <t xml:space="preserve">09:30–17:00</t>
  </si>
  <si>
    <t xml:space="preserve">Відкриття, підготовка залу/цехів, ланч, бізнес-ланч</t>
  </si>
  <si>
    <t xml:space="preserve">С</t>
  </si>
  <si>
    <t xml:space="preserve">Середня (денний пік)</t>
  </si>
  <si>
    <t xml:space="preserve">12:00–20:00</t>
  </si>
  <si>
    <t xml:space="preserve">Підсилення денного піку та раннього вечора (Чт–Нд)</t>
  </si>
  <si>
    <t xml:space="preserve">В</t>
  </si>
  <si>
    <t xml:space="preserve">Вечірня</t>
  </si>
  <si>
    <t xml:space="preserve">15:00–22:30</t>
  </si>
  <si>
    <t xml:space="preserve">16:00–23:30</t>
  </si>
  <si>
    <t xml:space="preserve">15:30–22:30</t>
  </si>
  <si>
    <t xml:space="preserve">Вечірній сервіс, закриття зміни, прибирання, касові звіти</t>
  </si>
  <si>
    <t xml:space="preserve">П</t>
  </si>
  <si>
    <t xml:space="preserve">Пікова вечірня</t>
  </si>
  <si>
    <t xml:space="preserve">—</t>
  </si>
  <si>
    <t xml:space="preserve">17:30–23:30</t>
  </si>
  <si>
    <t xml:space="preserve">Підсилення вечірнього піку 19:00–22:00 і закриття (Чт–Сб)</t>
  </si>
  <si>
    <t xml:space="preserve">Оплачувані години зміни (вхідні дані)</t>
  </si>
  <si>
    <t xml:space="preserve">Норма робочого часу на місяць, год</t>
  </si>
  <si>
    <t xml:space="preserve">Правила поєднання змін</t>
  </si>
  <si>
    <t xml:space="preserve">• Р → будь-яка зміна наступного дня: дозволено.</t>
  </si>
  <si>
    <t xml:space="preserve">• С, В, П → Р наступного дня: заборонено (міжзмінний відпочинок, ст. 59 КЗпП). Після вечора — вечір, середня або вихідний.</t>
  </si>
  <si>
    <t xml:space="preserve">• Не більше 5 робочих днів поспіль.</t>
  </si>
  <si>
    <t xml:space="preserve">• Під час зміни мають бути 30 хв перекриття «ранок–вечір» для передачі зміни (16:00–17:00 / 15:00–17:00).</t>
  </si>
  <si>
    <t xml:space="preserve">Профіль завантаження та норми укомплектування</t>
  </si>
  <si>
    <t xml:space="preserve">Рівні завантаження — експертне припущення до отримання даних POS. Норми (сині) можна змінювати; контроль покриття в графіках перерахується автоматично.</t>
  </si>
  <si>
    <t xml:space="preserve">День тижня</t>
  </si>
  <si>
    <t xml:space="preserve">Рівень завантаження</t>
  </si>
  <si>
    <t xml:space="preserve">Низький</t>
  </si>
  <si>
    <t xml:space="preserve">Середній</t>
  </si>
  <si>
    <t xml:space="preserve">Високий</t>
  </si>
  <si>
    <t xml:space="preserve">Піковий</t>
  </si>
  <si>
    <t xml:space="preserve">Режим роботи</t>
  </si>
  <si>
    <t xml:space="preserve">10–22</t>
  </si>
  <si>
    <t xml:space="preserve">10–23</t>
  </si>
  <si>
    <t xml:space="preserve">Днів у жовтні</t>
  </si>
  <si>
    <t xml:space="preserve">Обґрунтування рівня</t>
  </si>
  <si>
    <t xml:space="preserve">Повільний старт тижня; основний потік — ділові ланчі</t>
  </si>
  <si>
    <t xml:space="preserve">Аналогічно понеділку</t>
  </si>
  <si>
    <t xml:space="preserve">Перший день подовженого режиму до 23:00; вечір помірний</t>
  </si>
  <si>
    <t xml:space="preserve">Ділові вечері, початок «вечорів вихідних»</t>
  </si>
  <si>
    <t xml:space="preserve">Максимальна вечірня посадка, банкети, винні замовлення</t>
  </si>
  <si>
    <t xml:space="preserve">Високий день і найвищий вечір тижня</t>
  </si>
  <si>
    <t xml:space="preserve">Сімейний ланч і ранній вечір; закриття о 22:00</t>
  </si>
  <si>
    <t xml:space="preserve">Норми: кількість людей на зміну</t>
  </si>
  <si>
    <t xml:space="preserve">Посада</t>
  </si>
  <si>
    <t xml:space="preserve">Змін/міс.</t>
  </si>
  <si>
    <t xml:space="preserve">Ключ (службовий)</t>
  </si>
  <si>
    <t xml:space="preserve">ЗАЛ</t>
  </si>
  <si>
    <t xml:space="preserve">Менеджер зміни</t>
  </si>
  <si>
    <t xml:space="preserve">Хостес</t>
  </si>
  <si>
    <t xml:space="preserve">Офіціант</t>
  </si>
  <si>
    <t xml:space="preserve">Ранер</t>
  </si>
  <si>
    <t xml:space="preserve">Сомельє</t>
  </si>
  <si>
    <t xml:space="preserve">Бармен</t>
  </si>
  <si>
    <t xml:space="preserve">КУХНЯ</t>
  </si>
  <si>
    <t xml:space="preserve">Су-шеф</t>
  </si>
  <si>
    <t xml:space="preserve">Кухар гриль</t>
  </si>
  <si>
    <t xml:space="preserve">Кухар гарячого цеху</t>
  </si>
  <si>
    <t xml:space="preserve">Кухар холодного цеху</t>
  </si>
  <si>
    <t xml:space="preserve">Кондитер</t>
  </si>
  <si>
    <t xml:space="preserve">Мийник</t>
  </si>
  <si>
    <t xml:space="preserve">Зведення: чисельність і фонд робочого часу</t>
  </si>
  <si>
    <t xml:space="preserve">Усі показники розраховуються з аркушів графіка.</t>
  </si>
  <si>
    <t xml:space="preserve">Підрозділ</t>
  </si>
  <si>
    <t xml:space="preserve">Людей</t>
  </si>
  <si>
    <t xml:space="preserve">Годин разом</t>
  </si>
  <si>
    <t xml:space="preserve">Середнє</t>
  </si>
  <si>
    <t xml:space="preserve">Мін.</t>
  </si>
  <si>
    <t xml:space="preserve">Макс.</t>
  </si>
  <si>
    <t xml:space="preserve">Сер. до норми</t>
  </si>
  <si>
    <t xml:space="preserve">Разом</t>
  </si>
  <si>
    <t xml:space="preserve">Фонд годин за днями тижня (середній день)</t>
  </si>
  <si>
    <t xml:space="preserve">День</t>
  </si>
  <si>
    <t xml:space="preserve">Рівень</t>
  </si>
  <si>
    <t xml:space="preserve">Зал, год</t>
  </si>
  <si>
    <t xml:space="preserve">Кухня, год</t>
  </si>
  <si>
    <t xml:space="preserve">Разом, год</t>
  </si>
  <si>
    <t xml:space="preserve">Як читати: фонд годин має зростати разом із рівнем завантаження. Якщо після отримання даних POS фактичні гості на годину персоналу суттєво різняться між днями — скоригуйте норми на аркуші «Норми».</t>
  </si>
  <si>
    <t xml:space="preserve">BEEF — графік роботи: зал, жовтень 2026</t>
  </si>
  <si>
    <t xml:space="preserve">Р 09:30–17:00 · С 12:00–20:00 · В Пн–Вт 15:00–22:30, Ср–Сб 16:00–23:30, Нд 15:30–22:30 · П 17:30–23:30 (Чт–Сб) · порожньо — вихідний</t>
  </si>
  <si>
    <t xml:space="preserve">№</t>
  </si>
  <si>
    <t xml:space="preserve">Співробітник</t>
  </si>
  <si>
    <t xml:space="preserve">Змін</t>
  </si>
  <si>
    <t xml:space="preserve">Годин</t>
  </si>
  <si>
    <t xml:space="preserve">Вихідних</t>
  </si>
  <si>
    <t xml:space="preserve">Пт+Сб</t>
  </si>
  <si>
    <t xml:space="preserve">Δ до норми, год</t>
  </si>
  <si>
    <t xml:space="preserve">Завантаження</t>
  </si>
  <si>
    <t xml:space="preserve">год. зміни Р</t>
  </si>
  <si>
    <t xml:space="preserve">год. зміни С</t>
  </si>
  <si>
    <t xml:space="preserve">год. зміни В</t>
  </si>
  <si>
    <t xml:space="preserve">год. зміни П</t>
  </si>
  <si>
    <t xml:space="preserve">МЕНЕДЖЕР ЗМІНИ</t>
  </si>
  <si>
    <t xml:space="preserve">Менеджер зміни 1</t>
  </si>
  <si>
    <t xml:space="preserve">Менеджер зміни 2</t>
  </si>
  <si>
    <t xml:space="preserve">Менеджер зміни 3</t>
  </si>
  <si>
    <t xml:space="preserve">Контроль Р (факт − норма)</t>
  </si>
  <si>
    <t xml:space="preserve">Контроль В (факт − норма)</t>
  </si>
  <si>
    <t xml:space="preserve">ХОСТЕС</t>
  </si>
  <si>
    <t xml:space="preserve">Хостес 1</t>
  </si>
  <si>
    <t xml:space="preserve">Хостес 2</t>
  </si>
  <si>
    <t xml:space="preserve">Хостес 3</t>
  </si>
  <si>
    <t xml:space="preserve">Хостес 4</t>
  </si>
  <si>
    <t xml:space="preserve">Контроль С (факт − норма)</t>
  </si>
  <si>
    <t xml:space="preserve">Контроль П (факт − норма)</t>
  </si>
  <si>
    <t xml:space="preserve">ОФІЦІАНТ</t>
  </si>
  <si>
    <t xml:space="preserve">Офіціант 1</t>
  </si>
  <si>
    <t xml:space="preserve">Офіціант 2</t>
  </si>
  <si>
    <t xml:space="preserve">Офіціант 3</t>
  </si>
  <si>
    <t xml:space="preserve">Офіціант 4</t>
  </si>
  <si>
    <t xml:space="preserve">Офіціант 5</t>
  </si>
  <si>
    <t xml:space="preserve">Офіціант 6</t>
  </si>
  <si>
    <t xml:space="preserve">Офіціант 7</t>
  </si>
  <si>
    <t xml:space="preserve">Офіціант 8</t>
  </si>
  <si>
    <t xml:space="preserve">Офіціант 9</t>
  </si>
  <si>
    <t xml:space="preserve">Офіціант 10</t>
  </si>
  <si>
    <t xml:space="preserve">Офіціант 11</t>
  </si>
  <si>
    <t xml:space="preserve">РАНЕР</t>
  </si>
  <si>
    <t xml:space="preserve">Ранер 1</t>
  </si>
  <si>
    <t xml:space="preserve">Ранер 2</t>
  </si>
  <si>
    <t xml:space="preserve">Ранер 3</t>
  </si>
  <si>
    <t xml:space="preserve">Ранер 4</t>
  </si>
  <si>
    <t xml:space="preserve">Ранер 5</t>
  </si>
  <si>
    <t xml:space="preserve">Ранер 6</t>
  </si>
  <si>
    <t xml:space="preserve">СОМЕЛЬЄ</t>
  </si>
  <si>
    <t xml:space="preserve">Сомельє 1</t>
  </si>
  <si>
    <t xml:space="preserve">Сомельє 2</t>
  </si>
  <si>
    <t xml:space="preserve">БАРМЕН</t>
  </si>
  <si>
    <t xml:space="preserve">Бармен 1</t>
  </si>
  <si>
    <t xml:space="preserve">Бармен 2</t>
  </si>
  <si>
    <t xml:space="preserve">Бармен 3</t>
  </si>
  <si>
    <t xml:space="preserve">Бармен 4</t>
  </si>
  <si>
    <t xml:space="preserve">Людей на зміні за день</t>
  </si>
  <si>
    <t xml:space="preserve">Людино-години за день</t>
  </si>
  <si>
    <t xml:space="preserve">Разом:</t>
  </si>
  <si>
    <t xml:space="preserve">BEEF — графік роботи: кухня, жовтень 2026</t>
  </si>
  <si>
    <t xml:space="preserve">СУ-ШЕФ</t>
  </si>
  <si>
    <t xml:space="preserve">Су-шеф 1</t>
  </si>
  <si>
    <t xml:space="preserve">Су-шеф 2</t>
  </si>
  <si>
    <t xml:space="preserve">Су-шеф 3</t>
  </si>
  <si>
    <t xml:space="preserve">КУХАР ГРИЛЬ</t>
  </si>
  <si>
    <t xml:space="preserve">Кухар гриль 1</t>
  </si>
  <si>
    <t xml:space="preserve">Кухар гриль 2</t>
  </si>
  <si>
    <t xml:space="preserve">Кухар гриль 3</t>
  </si>
  <si>
    <t xml:space="preserve">Кухар гриль 4</t>
  </si>
  <si>
    <t xml:space="preserve">КУХАР ГАРЯЧОГО ЦЕХУ</t>
  </si>
  <si>
    <t xml:space="preserve">Кухар гарячого цеху 1</t>
  </si>
  <si>
    <t xml:space="preserve">Кухар гарячого цеху 2</t>
  </si>
  <si>
    <t xml:space="preserve">Кухар гарячого цеху 3</t>
  </si>
  <si>
    <t xml:space="preserve">Кухар гарячого цеху 4</t>
  </si>
  <si>
    <t xml:space="preserve">КУХАР ХОЛОДНОГО ЦЕХУ</t>
  </si>
  <si>
    <t xml:space="preserve">Кухар холодного цеху 1</t>
  </si>
  <si>
    <t xml:space="preserve">Кухар холодного цеху 2</t>
  </si>
  <si>
    <t xml:space="preserve">Кухар холодного цеху 3</t>
  </si>
  <si>
    <t xml:space="preserve">Кухар холодного цеху 4</t>
  </si>
  <si>
    <t xml:space="preserve">КОНДИТЕР</t>
  </si>
  <si>
    <t xml:space="preserve">Кондитер 1</t>
  </si>
  <si>
    <t xml:space="preserve">Кондитер 2</t>
  </si>
  <si>
    <t xml:space="preserve">МИЙНИК</t>
  </si>
  <si>
    <t xml:space="preserve">Мийник 1</t>
  </si>
  <si>
    <t xml:space="preserve">Мийник 2</t>
  </si>
  <si>
    <t xml:space="preserve">Мийник 3</t>
  </si>
  <si>
    <t xml:space="preserve">Мийник 4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</si>
</sst>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"/>
    <numFmt numFmtId="167" formatCode="General"/>
    <numFmt numFmtId="168" formatCode="#,##0"/>
    <numFmt numFmtId="169" formatCode="\+0.0;\-0.0;0"/>
    <numFmt numFmtId="170" formatCode="0.#"/>
    <numFmt numFmtId="171" formatCode="\+0;\-0;\✓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8"/>
      <color rgb="FF80808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3A2A20"/>
        <bgColor rgb="FF333300"/>
      </patternFill>
    </fill>
    <fill>
      <patternFill patternType="solid">
        <fgColor rgb="FFFCE4B6"/>
        <bgColor rgb="FFFFEB9C"/>
      </patternFill>
    </fill>
    <fill>
      <patternFill patternType="solid">
        <fgColor rgb="FFD5E8D4"/>
        <bgColor rgb="FFE8E1D9"/>
      </patternFill>
    </fill>
    <fill>
      <patternFill patternType="solid">
        <fgColor rgb="FFCFE0F3"/>
        <bgColor rgb="FFD5E8D4"/>
      </patternFill>
    </fill>
    <fill>
      <patternFill patternType="solid">
        <fgColor rgb="FFE4D4EE"/>
        <bgColor rgb="FFE8E1D9"/>
      </patternFill>
    </fill>
    <fill>
      <patternFill patternType="solid">
        <fgColor rgb="FFFFF9C4"/>
        <bgColor rgb="FFF3EEE8"/>
      </patternFill>
    </fill>
    <fill>
      <patternFill patternType="solid">
        <fgColor rgb="FFE8E1D9"/>
        <bgColor rgb="FFD5E8D4"/>
      </patternFill>
    </fill>
    <fill>
      <patternFill patternType="solid">
        <fgColor rgb="FFF3EEE8"/>
        <bgColor rgb="FFE8E1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9C0006"/>
        <sz val="8"/>
      </font>
      <fill>
        <patternFill>
          <bgColor rgb="FFF4B6B6"/>
        </patternFill>
      </fill>
    </dxf>
    <dxf>
      <fill>
        <patternFill>
          <bgColor rgb="FFFFEB9C"/>
        </patternFill>
      </fill>
    </dxf>
    <dxf>
      <fill>
        <patternFill>
          <bgColor rgb="FFFCE4B6"/>
        </patternFill>
      </fill>
    </dxf>
    <dxf>
      <fill>
        <patternFill>
          <bgColor rgb="FFD5E8D4"/>
        </patternFill>
      </fill>
    </dxf>
    <dxf>
      <fill>
        <patternFill>
          <bgColor rgb="FFCFE0F3"/>
        </patternFill>
      </fill>
    </dxf>
    <dxf>
      <fill>
        <patternFill>
          <bgColor rgb="FFE4D4EE"/>
        </patternFill>
      </fill>
    </dxf>
    <dxf>
      <font>
        <name val="Arial"/>
        <charset val="1"/>
        <family val="0"/>
        <b val="1"/>
        <color rgb="FFC00000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CFE0F3"/>
      <rgbColor rgb="FF660066"/>
      <rgbColor rgb="FFFF8080"/>
      <rgbColor rgb="FF0066CC"/>
      <rgbColor rgb="FFE4D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EEE8"/>
      <rgbColor rgb="FFD5E8D4"/>
      <rgbColor rgb="FFFFEB9C"/>
      <rgbColor rgb="FFE8E1D9"/>
      <rgbColor rgb="FFFCE4B6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2A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4" t="s">
        <v>3</v>
      </c>
    </row>
    <row r="9" customFormat="false" ht="15" hidden="false" customHeight="false" outlineLevel="0" collapsed="false">
      <c r="B9" s="3" t="s">
        <v>4</v>
      </c>
    </row>
    <row r="10" customFormat="false" ht="15" hidden="false" customHeight="false" outlineLevel="0" collapsed="false">
      <c r="B10" s="4" t="s">
        <v>5</v>
      </c>
    </row>
    <row r="11" customFormat="false" ht="15" hidden="false" customHeight="false" outlineLevel="0" collapsed="false">
      <c r="B11" s="4" t="s">
        <v>6</v>
      </c>
    </row>
    <row r="12" customFormat="false" ht="23.85" hidden="false" customHeight="false" outlineLevel="0" collapsed="false">
      <c r="B12" s="4" t="s">
        <v>7</v>
      </c>
    </row>
    <row r="13" customFormat="false" ht="23.85" hidden="false" customHeight="false" outlineLevel="0" collapsed="false">
      <c r="B13" s="4" t="s">
        <v>8</v>
      </c>
    </row>
    <row r="15" customFormat="false" ht="15" hidden="false" customHeight="false" outlineLevel="0" collapsed="false">
      <c r="B15" s="3" t="s">
        <v>9</v>
      </c>
    </row>
    <row r="16" customFormat="false" ht="23.85" hidden="false" customHeight="false" outlineLevel="0" collapsed="false">
      <c r="B16" s="4" t="s">
        <v>10</v>
      </c>
    </row>
    <row r="17" customFormat="false" ht="15" hidden="false" customHeight="false" outlineLevel="0" collapsed="false">
      <c r="B17" s="4" t="s">
        <v>11</v>
      </c>
    </row>
    <row r="18" customFormat="false" ht="15" hidden="false" customHeight="false" outlineLevel="0" collapsed="false">
      <c r="B18" s="4" t="s">
        <v>12</v>
      </c>
    </row>
    <row r="20" customFormat="false" ht="15" hidden="false" customHeight="false" outlineLevel="0" collapsed="false">
      <c r="B20" s="3" t="s">
        <v>13</v>
      </c>
    </row>
    <row r="21" customFormat="false" ht="15" hidden="false" customHeight="false" outlineLevel="0" collapsed="false">
      <c r="B21" s="4" t="s">
        <v>14</v>
      </c>
    </row>
    <row r="22" customFormat="false" ht="15" hidden="false" customHeight="false" outlineLevel="0" collapsed="false">
      <c r="B22" s="4" t="s">
        <v>15</v>
      </c>
    </row>
    <row r="23" customFormat="false" ht="15" hidden="false" customHeight="false" outlineLevel="0" collapsed="false">
      <c r="B23" s="4" t="s">
        <v>16</v>
      </c>
    </row>
    <row r="24" customFormat="false" ht="23.85" hidden="false" customHeight="false" outlineLevel="0" collapsed="false">
      <c r="B24" s="4" t="s">
        <v>17</v>
      </c>
    </row>
    <row r="25" customFormat="false" ht="15" hidden="false" customHeight="false" outlineLevel="0" collapsed="false">
      <c r="B25" s="4" t="s">
        <v>18</v>
      </c>
    </row>
    <row r="27" customFormat="false" ht="15" hidden="false" customHeight="false" outlineLevel="0" collapsed="false">
      <c r="B27" s="3" t="s">
        <v>19</v>
      </c>
    </row>
    <row r="28" customFormat="false" ht="15" hidden="false" customHeight="false" outlineLevel="0" collapsed="false">
      <c r="B28" s="4" t="s">
        <v>20</v>
      </c>
    </row>
    <row r="29" customFormat="false" ht="15" hidden="false" customHeight="false" outlineLevel="0" collapsed="false">
      <c r="B29" s="4" t="s">
        <v>21</v>
      </c>
    </row>
    <row r="30" customFormat="false" ht="15" hidden="false" customHeight="false" outlineLevel="0" collapsed="false">
      <c r="B30" s="4" t="s">
        <v>22</v>
      </c>
    </row>
    <row r="31" customFormat="false" ht="15" hidden="false" customHeight="false" outlineLevel="0" collapsed="false">
      <c r="B31" s="4" t="s">
        <v>23</v>
      </c>
    </row>
    <row r="33" customFormat="false" ht="15" hidden="false" customHeight="false" outlineLevel="0" collapsed="false">
      <c r="B33" s="3" t="s">
        <v>24</v>
      </c>
    </row>
    <row r="34" customFormat="false" ht="23.85" hidden="false" customHeight="false" outlineLevel="0" collapsed="false">
      <c r="B34" s="4" t="s">
        <v>25</v>
      </c>
    </row>
    <row r="35" customFormat="false" ht="23.85" hidden="false" customHeight="false" outlineLevel="0" collapsed="false">
      <c r="B35" s="4" t="s">
        <v>26</v>
      </c>
    </row>
    <row r="36" customFormat="false" ht="23.85" hidden="false" customHeight="false" outlineLevel="0" collapsed="false">
      <c r="B36" s="4" t="s">
        <v>27</v>
      </c>
    </row>
    <row r="37" customFormat="false" ht="15" hidden="false" customHeight="false" outlineLevel="0" collapsed="false">
      <c r="B37" s="4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9" min="3" style="0" width="13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4" customFormat="false" ht="15" hidden="false" customHeight="false" outlineLevel="0" collapsed="false">
      <c r="A4" s="5" t="s">
        <v>31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  <c r="I4" s="5" t="s">
        <v>39</v>
      </c>
      <c r="J4" s="5" t="s">
        <v>40</v>
      </c>
    </row>
    <row r="5" customFormat="false" ht="15" hidden="false" customHeight="false" outlineLevel="0" collapsed="false">
      <c r="A5" s="6" t="s">
        <v>41</v>
      </c>
      <c r="B5" s="7" t="s">
        <v>42</v>
      </c>
      <c r="C5" s="8" t="s">
        <v>43</v>
      </c>
      <c r="D5" s="8" t="s">
        <v>43</v>
      </c>
      <c r="E5" s="8" t="s">
        <v>43</v>
      </c>
      <c r="F5" s="8" t="s">
        <v>43</v>
      </c>
      <c r="G5" s="8" t="s">
        <v>43</v>
      </c>
      <c r="H5" s="8" t="s">
        <v>43</v>
      </c>
      <c r="I5" s="8" t="s">
        <v>43</v>
      </c>
      <c r="J5" s="7" t="s">
        <v>44</v>
      </c>
    </row>
    <row r="6" customFormat="false" ht="15" hidden="false" customHeight="false" outlineLevel="0" collapsed="false">
      <c r="A6" s="9" t="s">
        <v>45</v>
      </c>
      <c r="B6" s="7" t="s">
        <v>46</v>
      </c>
      <c r="C6" s="8" t="s">
        <v>47</v>
      </c>
      <c r="D6" s="8" t="s">
        <v>47</v>
      </c>
      <c r="E6" s="8" t="s">
        <v>47</v>
      </c>
      <c r="F6" s="8" t="s">
        <v>47</v>
      </c>
      <c r="G6" s="8" t="s">
        <v>47</v>
      </c>
      <c r="H6" s="8" t="s">
        <v>47</v>
      </c>
      <c r="I6" s="8" t="s">
        <v>47</v>
      </c>
      <c r="J6" s="7" t="s">
        <v>48</v>
      </c>
    </row>
    <row r="7" customFormat="false" ht="15" hidden="false" customHeight="false" outlineLevel="0" collapsed="false">
      <c r="A7" s="10" t="s">
        <v>49</v>
      </c>
      <c r="B7" s="7" t="s">
        <v>50</v>
      </c>
      <c r="C7" s="8" t="s">
        <v>51</v>
      </c>
      <c r="D7" s="8" t="s">
        <v>51</v>
      </c>
      <c r="E7" s="8" t="s">
        <v>52</v>
      </c>
      <c r="F7" s="8" t="s">
        <v>52</v>
      </c>
      <c r="G7" s="8" t="s">
        <v>52</v>
      </c>
      <c r="H7" s="8" t="s">
        <v>52</v>
      </c>
      <c r="I7" s="8" t="s">
        <v>53</v>
      </c>
      <c r="J7" s="7" t="s">
        <v>54</v>
      </c>
    </row>
    <row r="8" customFormat="false" ht="15" hidden="false" customHeight="false" outlineLevel="0" collapsed="false">
      <c r="A8" s="11" t="s">
        <v>55</v>
      </c>
      <c r="B8" s="7" t="s">
        <v>56</v>
      </c>
      <c r="C8" s="8" t="s">
        <v>57</v>
      </c>
      <c r="D8" s="8" t="s">
        <v>57</v>
      </c>
      <c r="E8" s="8" t="s">
        <v>57</v>
      </c>
      <c r="F8" s="8" t="s">
        <v>58</v>
      </c>
      <c r="G8" s="8" t="s">
        <v>58</v>
      </c>
      <c r="H8" s="8" t="s">
        <v>58</v>
      </c>
      <c r="I8" s="8" t="s">
        <v>57</v>
      </c>
      <c r="J8" s="7" t="s">
        <v>59</v>
      </c>
    </row>
    <row r="11" customFormat="false" ht="15" hidden="false" customHeight="false" outlineLevel="0" collapsed="false">
      <c r="A11" s="12" t="s">
        <v>60</v>
      </c>
    </row>
    <row r="12" customFormat="false" ht="15" hidden="false" customHeight="false" outlineLevel="0" collapsed="false">
      <c r="A12" s="5" t="s">
        <v>31</v>
      </c>
      <c r="B12" s="5" t="s">
        <v>32</v>
      </c>
      <c r="C12" s="5" t="s">
        <v>33</v>
      </c>
      <c r="D12" s="5" t="s">
        <v>34</v>
      </c>
      <c r="E12" s="5" t="s">
        <v>35</v>
      </c>
      <c r="F12" s="5" t="s">
        <v>36</v>
      </c>
      <c r="G12" s="5" t="s">
        <v>37</v>
      </c>
      <c r="H12" s="5" t="s">
        <v>38</v>
      </c>
      <c r="I12" s="5" t="s">
        <v>39</v>
      </c>
    </row>
    <row r="13" customFormat="false" ht="15" hidden="false" customHeight="false" outlineLevel="0" collapsed="false">
      <c r="A13" s="6" t="s">
        <v>41</v>
      </c>
      <c r="B13" s="7" t="s">
        <v>42</v>
      </c>
      <c r="C13" s="13" t="n">
        <v>7.5</v>
      </c>
      <c r="D13" s="13" t="n">
        <v>7.5</v>
      </c>
      <c r="E13" s="13" t="n">
        <v>7.5</v>
      </c>
      <c r="F13" s="13" t="n">
        <v>7.5</v>
      </c>
      <c r="G13" s="13" t="n">
        <v>7.5</v>
      </c>
      <c r="H13" s="13" t="n">
        <v>7.5</v>
      </c>
      <c r="I13" s="13" t="n">
        <v>7.5</v>
      </c>
    </row>
    <row r="14" customFormat="false" ht="15" hidden="false" customHeight="false" outlineLevel="0" collapsed="false">
      <c r="A14" s="9" t="s">
        <v>45</v>
      </c>
      <c r="B14" s="7" t="s">
        <v>46</v>
      </c>
      <c r="C14" s="13" t="n">
        <v>8</v>
      </c>
      <c r="D14" s="13" t="n">
        <v>8</v>
      </c>
      <c r="E14" s="13" t="n">
        <v>8</v>
      </c>
      <c r="F14" s="13" t="n">
        <v>8</v>
      </c>
      <c r="G14" s="13" t="n">
        <v>8</v>
      </c>
      <c r="H14" s="13" t="n">
        <v>8</v>
      </c>
      <c r="I14" s="13" t="n">
        <v>8</v>
      </c>
    </row>
    <row r="15" customFormat="false" ht="15" hidden="false" customHeight="false" outlineLevel="0" collapsed="false">
      <c r="A15" s="10" t="s">
        <v>49</v>
      </c>
      <c r="B15" s="7" t="s">
        <v>50</v>
      </c>
      <c r="C15" s="13" t="n">
        <v>7.5</v>
      </c>
      <c r="D15" s="13" t="n">
        <v>7.5</v>
      </c>
      <c r="E15" s="13" t="n">
        <v>7.5</v>
      </c>
      <c r="F15" s="13" t="n">
        <v>7.5</v>
      </c>
      <c r="G15" s="13" t="n">
        <v>7.5</v>
      </c>
      <c r="H15" s="13" t="n">
        <v>7.5</v>
      </c>
      <c r="I15" s="13" t="n">
        <v>7</v>
      </c>
    </row>
    <row r="16" customFormat="false" ht="15" hidden="false" customHeight="false" outlineLevel="0" collapsed="false">
      <c r="A16" s="11" t="s">
        <v>55</v>
      </c>
      <c r="B16" s="7" t="s">
        <v>56</v>
      </c>
      <c r="C16" s="13" t="n">
        <v>6</v>
      </c>
      <c r="D16" s="13" t="n">
        <v>6</v>
      </c>
      <c r="E16" s="13" t="n">
        <v>6</v>
      </c>
      <c r="F16" s="13" t="n">
        <v>6</v>
      </c>
      <c r="G16" s="13" t="n">
        <v>6</v>
      </c>
      <c r="H16" s="13" t="n">
        <v>6</v>
      </c>
      <c r="I16" s="13" t="n">
        <v>6</v>
      </c>
    </row>
    <row r="19" customFormat="false" ht="15" hidden="false" customHeight="false" outlineLevel="0" collapsed="false">
      <c r="A19" s="12" t="s">
        <v>61</v>
      </c>
      <c r="C19" s="14" t="n">
        <v>176</v>
      </c>
    </row>
    <row r="21" customFormat="false" ht="15" hidden="false" customHeight="false" outlineLevel="0" collapsed="false">
      <c r="A21" s="12" t="s">
        <v>62</v>
      </c>
    </row>
    <row r="22" customFormat="false" ht="15" hidden="false" customHeight="false" outlineLevel="0" collapsed="false">
      <c r="A22" s="15" t="s">
        <v>63</v>
      </c>
    </row>
    <row r="23" customFormat="false" ht="15" hidden="false" customHeight="false" outlineLevel="0" collapsed="false">
      <c r="A23" s="15" t="s">
        <v>64</v>
      </c>
    </row>
    <row r="24" customFormat="false" ht="15" hidden="false" customHeight="false" outlineLevel="0" collapsed="false">
      <c r="A24" s="15" t="s">
        <v>65</v>
      </c>
    </row>
    <row r="25" customFormat="false" ht="15" hidden="false" customHeight="false" outlineLevel="0" collapsed="false">
      <c r="A25" s="15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9" min="3" style="0" width="11"/>
    <col collapsed="false" customWidth="true" hidden="false" outlineLevel="0" max="10" min="10" style="0" width="12"/>
    <col collapsed="false" customWidth="true" hidden="false" outlineLevel="0" max="11" min="11" style="0" width="3"/>
    <col collapsed="false" customWidth="true" hidden="false" outlineLevel="0" max="12" min="12" style="0" width="28"/>
  </cols>
  <sheetData>
    <row r="1" customFormat="false" ht="17.3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15" hidden="false" customHeight="false" outlineLevel="0" collapsed="false">
      <c r="A4" s="5" t="s">
        <v>69</v>
      </c>
      <c r="B4" s="16"/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  <c r="I4" s="5" t="s">
        <v>39</v>
      </c>
    </row>
    <row r="5" customFormat="false" ht="15" hidden="false" customHeight="false" outlineLevel="0" collapsed="false">
      <c r="A5" s="17" t="s">
        <v>70</v>
      </c>
      <c r="B5" s="7"/>
      <c r="C5" s="18" t="s">
        <v>71</v>
      </c>
      <c r="D5" s="18" t="s">
        <v>71</v>
      </c>
      <c r="E5" s="18" t="s">
        <v>72</v>
      </c>
      <c r="F5" s="18" t="s">
        <v>73</v>
      </c>
      <c r="G5" s="18" t="s">
        <v>74</v>
      </c>
      <c r="H5" s="18" t="s">
        <v>74</v>
      </c>
      <c r="I5" s="18" t="s">
        <v>73</v>
      </c>
    </row>
    <row r="6" customFormat="false" ht="15" hidden="false" customHeight="false" outlineLevel="0" collapsed="false">
      <c r="A6" s="17" t="s">
        <v>75</v>
      </c>
      <c r="B6" s="7"/>
      <c r="C6" s="8" t="s">
        <v>76</v>
      </c>
      <c r="D6" s="8" t="s">
        <v>76</v>
      </c>
      <c r="E6" s="8" t="s">
        <v>77</v>
      </c>
      <c r="F6" s="8" t="s">
        <v>77</v>
      </c>
      <c r="G6" s="8" t="s">
        <v>77</v>
      </c>
      <c r="H6" s="8" t="s">
        <v>77</v>
      </c>
      <c r="I6" s="8" t="s">
        <v>76</v>
      </c>
    </row>
    <row r="7" customFormat="false" ht="15" hidden="false" customHeight="false" outlineLevel="0" collapsed="false">
      <c r="A7" s="17" t="s">
        <v>78</v>
      </c>
      <c r="B7" s="7"/>
      <c r="C7" s="8" t="n">
        <v>4</v>
      </c>
      <c r="D7" s="8" t="n">
        <v>4</v>
      </c>
      <c r="E7" s="8" t="n">
        <v>4</v>
      </c>
      <c r="F7" s="8" t="n">
        <v>5</v>
      </c>
      <c r="G7" s="8" t="n">
        <v>5</v>
      </c>
      <c r="H7" s="8" t="n">
        <v>5</v>
      </c>
      <c r="I7" s="8" t="n">
        <v>4</v>
      </c>
    </row>
    <row r="8" customFormat="false" ht="63.75" hidden="false" customHeight="true" outlineLevel="0" collapsed="false">
      <c r="A8" s="12" t="s">
        <v>79</v>
      </c>
      <c r="C8" s="19" t="s">
        <v>80</v>
      </c>
      <c r="D8" s="19" t="s">
        <v>81</v>
      </c>
      <c r="E8" s="19" t="s">
        <v>82</v>
      </c>
      <c r="F8" s="19" t="s">
        <v>83</v>
      </c>
      <c r="G8" s="19" t="s">
        <v>84</v>
      </c>
      <c r="H8" s="19" t="s">
        <v>85</v>
      </c>
      <c r="I8" s="19" t="s">
        <v>86</v>
      </c>
    </row>
    <row r="10" customFormat="false" ht="15" hidden="false" customHeight="false" outlineLevel="0" collapsed="false">
      <c r="A10" s="12" t="s">
        <v>87</v>
      </c>
    </row>
    <row r="11" customFormat="false" ht="15" hidden="false" customHeight="false" outlineLevel="0" collapsed="false">
      <c r="A11" s="5" t="s">
        <v>88</v>
      </c>
      <c r="B11" s="5" t="s">
        <v>32</v>
      </c>
      <c r="C11" s="5" t="s">
        <v>33</v>
      </c>
      <c r="D11" s="5" t="s">
        <v>34</v>
      </c>
      <c r="E11" s="5" t="s">
        <v>35</v>
      </c>
      <c r="F11" s="5" t="s">
        <v>36</v>
      </c>
      <c r="G11" s="5" t="s">
        <v>37</v>
      </c>
      <c r="H11" s="5" t="s">
        <v>38</v>
      </c>
      <c r="I11" s="5" t="s">
        <v>39</v>
      </c>
      <c r="J11" s="5" t="s">
        <v>89</v>
      </c>
      <c r="L11" s="20" t="s">
        <v>90</v>
      </c>
    </row>
    <row r="12" customFormat="false" ht="15" hidden="false" customHeight="false" outlineLevel="0" collapsed="false">
      <c r="A12" s="21" t="s">
        <v>91</v>
      </c>
      <c r="B12" s="22"/>
      <c r="C12" s="22"/>
      <c r="D12" s="22"/>
      <c r="E12" s="22"/>
      <c r="F12" s="22"/>
      <c r="G12" s="22"/>
      <c r="H12" s="22"/>
      <c r="I12" s="22"/>
      <c r="J12" s="22"/>
    </row>
    <row r="13" customFormat="false" ht="15" hidden="false" customHeight="false" outlineLevel="0" collapsed="false">
      <c r="A13" s="7" t="s">
        <v>92</v>
      </c>
      <c r="B13" s="6" t="s">
        <v>41</v>
      </c>
      <c r="C13" s="18" t="n">
        <v>1</v>
      </c>
      <c r="D13" s="18" t="n">
        <v>1</v>
      </c>
      <c r="E13" s="18" t="n">
        <v>1</v>
      </c>
      <c r="F13" s="18" t="n">
        <v>1</v>
      </c>
      <c r="G13" s="18" t="n">
        <v>1</v>
      </c>
      <c r="H13" s="18" t="n">
        <v>1</v>
      </c>
      <c r="I13" s="18" t="n">
        <v>1</v>
      </c>
      <c r="J13" s="23" t="n">
        <f aca="false">SUMPRODUCT(C13:I13,$C$7:$I$7)</f>
        <v>31</v>
      </c>
      <c r="L13" s="20" t="str">
        <f aca="false">A13&amp;"|"&amp;B13</f>
        <v>Менеджер зміни|Р</v>
      </c>
    </row>
    <row r="14" customFormat="false" ht="15" hidden="false" customHeight="false" outlineLevel="0" collapsed="false">
      <c r="A14" s="7" t="s">
        <v>92</v>
      </c>
      <c r="B14" s="10" t="s">
        <v>49</v>
      </c>
      <c r="C14" s="18" t="n">
        <v>1</v>
      </c>
      <c r="D14" s="18" t="n">
        <v>1</v>
      </c>
      <c r="E14" s="18" t="n">
        <v>1</v>
      </c>
      <c r="F14" s="18" t="n">
        <v>1</v>
      </c>
      <c r="G14" s="18" t="n">
        <v>1</v>
      </c>
      <c r="H14" s="18" t="n">
        <v>1</v>
      </c>
      <c r="I14" s="18" t="n">
        <v>1</v>
      </c>
      <c r="J14" s="23" t="n">
        <f aca="false">SUMPRODUCT(C14:I14,$C$7:$I$7)</f>
        <v>31</v>
      </c>
      <c r="L14" s="20" t="str">
        <f aca="false">A14&amp;"|"&amp;B14</f>
        <v>Менеджер зміни|В</v>
      </c>
    </row>
    <row r="15" customFormat="false" ht="15" hidden="false" customHeight="false" outlineLevel="0" collapsed="false">
      <c r="A15" s="7" t="s">
        <v>93</v>
      </c>
      <c r="B15" s="6" t="s">
        <v>41</v>
      </c>
      <c r="C15" s="18" t="n">
        <v>1</v>
      </c>
      <c r="D15" s="18" t="n">
        <v>1</v>
      </c>
      <c r="E15" s="18" t="n">
        <v>1</v>
      </c>
      <c r="F15" s="18" t="n">
        <v>1</v>
      </c>
      <c r="G15" s="18" t="n">
        <v>1</v>
      </c>
      <c r="H15" s="18" t="n">
        <v>1</v>
      </c>
      <c r="I15" s="18" t="n">
        <v>1</v>
      </c>
      <c r="J15" s="23" t="n">
        <f aca="false">SUMPRODUCT(C15:I15,$C$7:$I$7)</f>
        <v>31</v>
      </c>
      <c r="L15" s="20" t="str">
        <f aca="false">A15&amp;"|"&amp;B15</f>
        <v>Хостес|Р</v>
      </c>
    </row>
    <row r="16" customFormat="false" ht="15" hidden="false" customHeight="false" outlineLevel="0" collapsed="false">
      <c r="A16" s="7" t="s">
        <v>93</v>
      </c>
      <c r="B16" s="9" t="s">
        <v>45</v>
      </c>
      <c r="C16" s="18" t="n">
        <v>0</v>
      </c>
      <c r="D16" s="18" t="n">
        <v>0</v>
      </c>
      <c r="E16" s="18" t="n">
        <v>0</v>
      </c>
      <c r="F16" s="18" t="n">
        <v>0</v>
      </c>
      <c r="G16" s="18" t="n">
        <v>0</v>
      </c>
      <c r="H16" s="18" t="n">
        <v>0</v>
      </c>
      <c r="I16" s="18" t="n">
        <v>1</v>
      </c>
      <c r="J16" s="23" t="n">
        <f aca="false">SUMPRODUCT(C16:I16,$C$7:$I$7)</f>
        <v>4</v>
      </c>
      <c r="L16" s="20" t="str">
        <f aca="false">A16&amp;"|"&amp;B16</f>
        <v>Хостес|С</v>
      </c>
    </row>
    <row r="17" customFormat="false" ht="15" hidden="false" customHeight="false" outlineLevel="0" collapsed="false">
      <c r="A17" s="7" t="s">
        <v>93</v>
      </c>
      <c r="B17" s="10" t="s">
        <v>49</v>
      </c>
      <c r="C17" s="18" t="n">
        <v>1</v>
      </c>
      <c r="D17" s="18" t="n">
        <v>1</v>
      </c>
      <c r="E17" s="18" t="n">
        <v>1</v>
      </c>
      <c r="F17" s="18" t="n">
        <v>1</v>
      </c>
      <c r="G17" s="18" t="n">
        <v>1</v>
      </c>
      <c r="H17" s="18" t="n">
        <v>1</v>
      </c>
      <c r="I17" s="18" t="n">
        <v>1</v>
      </c>
      <c r="J17" s="23" t="n">
        <f aca="false">SUMPRODUCT(C17:I17,$C$7:$I$7)</f>
        <v>31</v>
      </c>
      <c r="L17" s="20" t="str">
        <f aca="false">A17&amp;"|"&amp;B17</f>
        <v>Хостес|В</v>
      </c>
    </row>
    <row r="18" customFormat="false" ht="15" hidden="false" customHeight="false" outlineLevel="0" collapsed="false">
      <c r="A18" s="7" t="s">
        <v>93</v>
      </c>
      <c r="B18" s="11" t="s">
        <v>55</v>
      </c>
      <c r="C18" s="18" t="n">
        <v>0</v>
      </c>
      <c r="D18" s="18" t="n">
        <v>0</v>
      </c>
      <c r="E18" s="18" t="n">
        <v>0</v>
      </c>
      <c r="F18" s="18" t="n">
        <v>0</v>
      </c>
      <c r="G18" s="18" t="n">
        <v>1</v>
      </c>
      <c r="H18" s="18" t="n">
        <v>1</v>
      </c>
      <c r="I18" s="18" t="n">
        <v>0</v>
      </c>
      <c r="J18" s="23" t="n">
        <f aca="false">SUMPRODUCT(C18:I18,$C$7:$I$7)</f>
        <v>10</v>
      </c>
      <c r="L18" s="20" t="str">
        <f aca="false">A18&amp;"|"&amp;B18</f>
        <v>Хостес|П</v>
      </c>
    </row>
    <row r="19" customFormat="false" ht="15" hidden="false" customHeight="false" outlineLevel="0" collapsed="false">
      <c r="A19" s="7" t="s">
        <v>94</v>
      </c>
      <c r="B19" s="6" t="s">
        <v>41</v>
      </c>
      <c r="C19" s="18" t="n">
        <v>2</v>
      </c>
      <c r="D19" s="18" t="n">
        <v>2</v>
      </c>
      <c r="E19" s="18" t="n">
        <v>2</v>
      </c>
      <c r="F19" s="18" t="n">
        <v>2</v>
      </c>
      <c r="G19" s="18" t="n">
        <v>3</v>
      </c>
      <c r="H19" s="18" t="n">
        <v>3</v>
      </c>
      <c r="I19" s="18" t="n">
        <v>3</v>
      </c>
      <c r="J19" s="23" t="n">
        <f aca="false">SUMPRODUCT(C19:I19,$C$7:$I$7)</f>
        <v>76</v>
      </c>
      <c r="L19" s="20" t="str">
        <f aca="false">A19&amp;"|"&amp;B19</f>
        <v>Офіціант|Р</v>
      </c>
    </row>
    <row r="20" customFormat="false" ht="15" hidden="false" customHeight="false" outlineLevel="0" collapsed="false">
      <c r="A20" s="7" t="s">
        <v>94</v>
      </c>
      <c r="B20" s="9" t="s">
        <v>45</v>
      </c>
      <c r="C20" s="18" t="n">
        <v>0</v>
      </c>
      <c r="D20" s="18" t="n">
        <v>0</v>
      </c>
      <c r="E20" s="18" t="n">
        <v>0</v>
      </c>
      <c r="F20" s="18" t="n">
        <v>1</v>
      </c>
      <c r="G20" s="18" t="n">
        <v>1</v>
      </c>
      <c r="H20" s="18" t="n">
        <v>2</v>
      </c>
      <c r="I20" s="18" t="n">
        <v>2</v>
      </c>
      <c r="J20" s="23" t="n">
        <f aca="false">SUMPRODUCT(C20:I20,$C$7:$I$7)</f>
        <v>28</v>
      </c>
      <c r="L20" s="20" t="str">
        <f aca="false">A20&amp;"|"&amp;B20</f>
        <v>Офіціант|С</v>
      </c>
    </row>
    <row r="21" customFormat="false" ht="15" hidden="false" customHeight="false" outlineLevel="0" collapsed="false">
      <c r="A21" s="7" t="s">
        <v>94</v>
      </c>
      <c r="B21" s="10" t="s">
        <v>49</v>
      </c>
      <c r="C21" s="18" t="n">
        <v>2</v>
      </c>
      <c r="D21" s="18" t="n">
        <v>2</v>
      </c>
      <c r="E21" s="18" t="n">
        <v>3</v>
      </c>
      <c r="F21" s="18" t="n">
        <v>3</v>
      </c>
      <c r="G21" s="18" t="n">
        <v>4</v>
      </c>
      <c r="H21" s="18" t="n">
        <v>4</v>
      </c>
      <c r="I21" s="18" t="n">
        <v>3</v>
      </c>
      <c r="J21" s="23" t="n">
        <f aca="false">SUMPRODUCT(C21:I21,$C$7:$I$7)</f>
        <v>95</v>
      </c>
      <c r="L21" s="20" t="str">
        <f aca="false">A21&amp;"|"&amp;B21</f>
        <v>Офіціант|В</v>
      </c>
    </row>
    <row r="22" customFormat="false" ht="15" hidden="false" customHeight="false" outlineLevel="0" collapsed="false">
      <c r="A22" s="7" t="s">
        <v>94</v>
      </c>
      <c r="B22" s="11" t="s">
        <v>55</v>
      </c>
      <c r="C22" s="18" t="n">
        <v>0</v>
      </c>
      <c r="D22" s="18" t="n">
        <v>0</v>
      </c>
      <c r="E22" s="18" t="n">
        <v>0</v>
      </c>
      <c r="F22" s="18" t="n">
        <v>1</v>
      </c>
      <c r="G22" s="18" t="n">
        <v>2</v>
      </c>
      <c r="H22" s="18" t="n">
        <v>2</v>
      </c>
      <c r="I22" s="18" t="n">
        <v>0</v>
      </c>
      <c r="J22" s="23" t="n">
        <f aca="false">SUMPRODUCT(C22:I22,$C$7:$I$7)</f>
        <v>25</v>
      </c>
      <c r="L22" s="20" t="str">
        <f aca="false">A22&amp;"|"&amp;B22</f>
        <v>Офіціант|П</v>
      </c>
    </row>
    <row r="23" customFormat="false" ht="15" hidden="false" customHeight="false" outlineLevel="0" collapsed="false">
      <c r="A23" s="7" t="s">
        <v>95</v>
      </c>
      <c r="B23" s="6" t="s">
        <v>41</v>
      </c>
      <c r="C23" s="18" t="n">
        <v>1</v>
      </c>
      <c r="D23" s="18" t="n">
        <v>1</v>
      </c>
      <c r="E23" s="18" t="n">
        <v>1</v>
      </c>
      <c r="F23" s="18" t="n">
        <v>1</v>
      </c>
      <c r="G23" s="18" t="n">
        <v>1</v>
      </c>
      <c r="H23" s="18" t="n">
        <v>2</v>
      </c>
      <c r="I23" s="18" t="n">
        <v>2</v>
      </c>
      <c r="J23" s="23" t="n">
        <f aca="false">SUMPRODUCT(C23:I23,$C$7:$I$7)</f>
        <v>40</v>
      </c>
      <c r="L23" s="20" t="str">
        <f aca="false">A23&amp;"|"&amp;B23</f>
        <v>Ранер|Р</v>
      </c>
    </row>
    <row r="24" customFormat="false" ht="15" hidden="false" customHeight="false" outlineLevel="0" collapsed="false">
      <c r="A24" s="7" t="s">
        <v>95</v>
      </c>
      <c r="B24" s="9" t="s">
        <v>45</v>
      </c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1</v>
      </c>
      <c r="H24" s="18" t="n">
        <v>1</v>
      </c>
      <c r="I24" s="18" t="n">
        <v>1</v>
      </c>
      <c r="J24" s="23" t="n">
        <f aca="false">SUMPRODUCT(C24:I24,$C$7:$I$7)</f>
        <v>14</v>
      </c>
      <c r="L24" s="20" t="str">
        <f aca="false">A24&amp;"|"&amp;B24</f>
        <v>Ранер|С</v>
      </c>
    </row>
    <row r="25" customFormat="false" ht="15" hidden="false" customHeight="false" outlineLevel="0" collapsed="false">
      <c r="A25" s="7" t="s">
        <v>95</v>
      </c>
      <c r="B25" s="10" t="s">
        <v>49</v>
      </c>
      <c r="C25" s="18" t="n">
        <v>1</v>
      </c>
      <c r="D25" s="18" t="n">
        <v>1</v>
      </c>
      <c r="E25" s="18" t="n">
        <v>1</v>
      </c>
      <c r="F25" s="18" t="n">
        <v>2</v>
      </c>
      <c r="G25" s="18" t="n">
        <v>2</v>
      </c>
      <c r="H25" s="18" t="n">
        <v>2</v>
      </c>
      <c r="I25" s="18" t="n">
        <v>1</v>
      </c>
      <c r="J25" s="23" t="n">
        <f aca="false">SUMPRODUCT(C25:I25,$C$7:$I$7)</f>
        <v>46</v>
      </c>
      <c r="L25" s="20" t="str">
        <f aca="false">A25&amp;"|"&amp;B25</f>
        <v>Ранер|В</v>
      </c>
    </row>
    <row r="26" customFormat="false" ht="15" hidden="false" customHeight="false" outlineLevel="0" collapsed="false">
      <c r="A26" s="7" t="s">
        <v>95</v>
      </c>
      <c r="B26" s="11" t="s">
        <v>55</v>
      </c>
      <c r="C26" s="18" t="n">
        <v>0</v>
      </c>
      <c r="D26" s="18" t="n">
        <v>0</v>
      </c>
      <c r="E26" s="18" t="n">
        <v>0</v>
      </c>
      <c r="F26" s="18" t="n">
        <v>0</v>
      </c>
      <c r="G26" s="18" t="n">
        <v>1</v>
      </c>
      <c r="H26" s="18" t="n">
        <v>1</v>
      </c>
      <c r="I26" s="18" t="n">
        <v>0</v>
      </c>
      <c r="J26" s="23" t="n">
        <f aca="false">SUMPRODUCT(C26:I26,$C$7:$I$7)</f>
        <v>10</v>
      </c>
      <c r="L26" s="20" t="str">
        <f aca="false">A26&amp;"|"&amp;B26</f>
        <v>Ранер|П</v>
      </c>
    </row>
    <row r="27" customFormat="false" ht="15" hidden="false" customHeight="false" outlineLevel="0" collapsed="false">
      <c r="A27" s="7" t="s">
        <v>96</v>
      </c>
      <c r="B27" s="9" t="s">
        <v>45</v>
      </c>
      <c r="C27" s="18" t="n">
        <v>0</v>
      </c>
      <c r="D27" s="18" t="n">
        <v>0</v>
      </c>
      <c r="E27" s="18" t="n">
        <v>0</v>
      </c>
      <c r="F27" s="18" t="n">
        <v>1</v>
      </c>
      <c r="G27" s="18" t="n">
        <v>1</v>
      </c>
      <c r="H27" s="18" t="n">
        <v>1</v>
      </c>
      <c r="I27" s="18" t="n">
        <v>0</v>
      </c>
      <c r="J27" s="23" t="n">
        <f aca="false">SUMPRODUCT(C27:I27,$C$7:$I$7)</f>
        <v>15</v>
      </c>
      <c r="L27" s="20" t="str">
        <f aca="false">A27&amp;"|"&amp;B27</f>
        <v>Сомельє|С</v>
      </c>
    </row>
    <row r="28" customFormat="false" ht="15" hidden="false" customHeight="false" outlineLevel="0" collapsed="false">
      <c r="A28" s="7" t="s">
        <v>96</v>
      </c>
      <c r="B28" s="10" t="s">
        <v>49</v>
      </c>
      <c r="C28" s="18" t="n">
        <v>1</v>
      </c>
      <c r="D28" s="18" t="n">
        <v>1</v>
      </c>
      <c r="E28" s="18" t="n">
        <v>1</v>
      </c>
      <c r="F28" s="18" t="n">
        <v>1</v>
      </c>
      <c r="G28" s="18" t="n">
        <v>1</v>
      </c>
      <c r="H28" s="18" t="n">
        <v>1</v>
      </c>
      <c r="I28" s="18" t="n">
        <v>1</v>
      </c>
      <c r="J28" s="23" t="n">
        <f aca="false">SUMPRODUCT(C28:I28,$C$7:$I$7)</f>
        <v>31</v>
      </c>
      <c r="L28" s="20" t="str">
        <f aca="false">A28&amp;"|"&amp;B28</f>
        <v>Сомельє|В</v>
      </c>
    </row>
    <row r="29" customFormat="false" ht="15" hidden="false" customHeight="false" outlineLevel="0" collapsed="false">
      <c r="A29" s="7" t="s">
        <v>97</v>
      </c>
      <c r="B29" s="6" t="s">
        <v>41</v>
      </c>
      <c r="C29" s="18" t="n">
        <v>1</v>
      </c>
      <c r="D29" s="18" t="n">
        <v>1</v>
      </c>
      <c r="E29" s="18" t="n">
        <v>1</v>
      </c>
      <c r="F29" s="18" t="n">
        <v>1</v>
      </c>
      <c r="G29" s="18" t="n">
        <v>1</v>
      </c>
      <c r="H29" s="18" t="n">
        <v>1</v>
      </c>
      <c r="I29" s="18" t="n">
        <v>1</v>
      </c>
      <c r="J29" s="23" t="n">
        <f aca="false">SUMPRODUCT(C29:I29,$C$7:$I$7)</f>
        <v>31</v>
      </c>
      <c r="L29" s="20" t="str">
        <f aca="false">A29&amp;"|"&amp;B29</f>
        <v>Бармен|Р</v>
      </c>
    </row>
    <row r="30" customFormat="false" ht="15" hidden="false" customHeight="false" outlineLevel="0" collapsed="false">
      <c r="A30" s="7" t="s">
        <v>97</v>
      </c>
      <c r="B30" s="10" t="s">
        <v>49</v>
      </c>
      <c r="C30" s="18" t="n">
        <v>1</v>
      </c>
      <c r="D30" s="18" t="n">
        <v>1</v>
      </c>
      <c r="E30" s="18" t="n">
        <v>1</v>
      </c>
      <c r="F30" s="18" t="n">
        <v>1</v>
      </c>
      <c r="G30" s="18" t="n">
        <v>1</v>
      </c>
      <c r="H30" s="18" t="n">
        <v>1</v>
      </c>
      <c r="I30" s="18" t="n">
        <v>1</v>
      </c>
      <c r="J30" s="23" t="n">
        <f aca="false">SUMPRODUCT(C30:I30,$C$7:$I$7)</f>
        <v>31</v>
      </c>
      <c r="L30" s="20" t="str">
        <f aca="false">A30&amp;"|"&amp;B30</f>
        <v>Бармен|В</v>
      </c>
    </row>
    <row r="31" customFormat="false" ht="15" hidden="false" customHeight="false" outlineLevel="0" collapsed="false">
      <c r="A31" s="7" t="s">
        <v>97</v>
      </c>
      <c r="B31" s="11" t="s">
        <v>55</v>
      </c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1</v>
      </c>
      <c r="H31" s="18" t="n">
        <v>1</v>
      </c>
      <c r="I31" s="18" t="n">
        <v>0</v>
      </c>
      <c r="J31" s="23" t="n">
        <f aca="false">SUMPRODUCT(C31:I31,$C$7:$I$7)</f>
        <v>10</v>
      </c>
      <c r="L31" s="20" t="str">
        <f aca="false">A31&amp;"|"&amp;B31</f>
        <v>Бармен|П</v>
      </c>
    </row>
    <row r="32" customFormat="false" ht="15" hidden="false" customHeight="false" outlineLevel="0" collapsed="false">
      <c r="A32" s="21" t="s">
        <v>98</v>
      </c>
      <c r="B32" s="22"/>
      <c r="C32" s="22"/>
      <c r="D32" s="22"/>
      <c r="E32" s="22"/>
      <c r="F32" s="22"/>
      <c r="G32" s="22"/>
      <c r="H32" s="22"/>
      <c r="I32" s="22"/>
      <c r="J32" s="22"/>
    </row>
    <row r="33" customFormat="false" ht="15" hidden="false" customHeight="false" outlineLevel="0" collapsed="false">
      <c r="A33" s="7" t="s">
        <v>99</v>
      </c>
      <c r="B33" s="6" t="s">
        <v>41</v>
      </c>
      <c r="C33" s="18" t="n">
        <v>1</v>
      </c>
      <c r="D33" s="18" t="n">
        <v>1</v>
      </c>
      <c r="E33" s="18" t="n">
        <v>1</v>
      </c>
      <c r="F33" s="18" t="n">
        <v>1</v>
      </c>
      <c r="G33" s="18" t="n">
        <v>1</v>
      </c>
      <c r="H33" s="18" t="n">
        <v>1</v>
      </c>
      <c r="I33" s="18" t="n">
        <v>1</v>
      </c>
      <c r="J33" s="23" t="n">
        <f aca="false">SUMPRODUCT(C33:I33,$C$7:$I$7)</f>
        <v>31</v>
      </c>
      <c r="L33" s="20" t="str">
        <f aca="false">A33&amp;"|"&amp;B33</f>
        <v>Су-шеф|Р</v>
      </c>
    </row>
    <row r="34" customFormat="false" ht="15" hidden="false" customHeight="false" outlineLevel="0" collapsed="false">
      <c r="A34" s="7" t="s">
        <v>99</v>
      </c>
      <c r="B34" s="10" t="s">
        <v>49</v>
      </c>
      <c r="C34" s="18" t="n">
        <v>1</v>
      </c>
      <c r="D34" s="18" t="n">
        <v>1</v>
      </c>
      <c r="E34" s="18" t="n">
        <v>1</v>
      </c>
      <c r="F34" s="18" t="n">
        <v>1</v>
      </c>
      <c r="G34" s="18" t="n">
        <v>1</v>
      </c>
      <c r="H34" s="18" t="n">
        <v>1</v>
      </c>
      <c r="I34" s="18" t="n">
        <v>1</v>
      </c>
      <c r="J34" s="23" t="n">
        <f aca="false">SUMPRODUCT(C34:I34,$C$7:$I$7)</f>
        <v>31</v>
      </c>
      <c r="L34" s="20" t="str">
        <f aca="false">A34&amp;"|"&amp;B34</f>
        <v>Су-шеф|В</v>
      </c>
    </row>
    <row r="35" customFormat="false" ht="15" hidden="false" customHeight="false" outlineLevel="0" collapsed="false">
      <c r="A35" s="7" t="s">
        <v>100</v>
      </c>
      <c r="B35" s="6" t="s">
        <v>41</v>
      </c>
      <c r="C35" s="18" t="n">
        <v>1</v>
      </c>
      <c r="D35" s="18" t="n">
        <v>1</v>
      </c>
      <c r="E35" s="18" t="n">
        <v>1</v>
      </c>
      <c r="F35" s="18" t="n">
        <v>1</v>
      </c>
      <c r="G35" s="18" t="n">
        <v>1</v>
      </c>
      <c r="H35" s="18" t="n">
        <v>1</v>
      </c>
      <c r="I35" s="18" t="n">
        <v>1</v>
      </c>
      <c r="J35" s="23" t="n">
        <f aca="false">SUMPRODUCT(C35:I35,$C$7:$I$7)</f>
        <v>31</v>
      </c>
      <c r="L35" s="20" t="str">
        <f aca="false">A35&amp;"|"&amp;B35</f>
        <v>Кухар гриль|Р</v>
      </c>
    </row>
    <row r="36" customFormat="false" ht="15" hidden="false" customHeight="false" outlineLevel="0" collapsed="false">
      <c r="A36" s="7" t="s">
        <v>100</v>
      </c>
      <c r="B36" s="9" t="s">
        <v>45</v>
      </c>
      <c r="C36" s="18" t="n">
        <v>0</v>
      </c>
      <c r="D36" s="18" t="n">
        <v>0</v>
      </c>
      <c r="E36" s="18" t="n">
        <v>0</v>
      </c>
      <c r="F36" s="18" t="n">
        <v>0</v>
      </c>
      <c r="G36" s="18" t="n">
        <v>1</v>
      </c>
      <c r="H36" s="18" t="n">
        <v>1</v>
      </c>
      <c r="I36" s="18" t="n">
        <v>1</v>
      </c>
      <c r="J36" s="23" t="n">
        <f aca="false">SUMPRODUCT(C36:I36,$C$7:$I$7)</f>
        <v>14</v>
      </c>
      <c r="L36" s="20" t="str">
        <f aca="false">A36&amp;"|"&amp;B36</f>
        <v>Кухар гриль|С</v>
      </c>
    </row>
    <row r="37" customFormat="false" ht="15" hidden="false" customHeight="false" outlineLevel="0" collapsed="false">
      <c r="A37" s="7" t="s">
        <v>100</v>
      </c>
      <c r="B37" s="10" t="s">
        <v>49</v>
      </c>
      <c r="C37" s="18" t="n">
        <v>1</v>
      </c>
      <c r="D37" s="18" t="n">
        <v>1</v>
      </c>
      <c r="E37" s="18" t="n">
        <v>1</v>
      </c>
      <c r="F37" s="18" t="n">
        <v>2</v>
      </c>
      <c r="G37" s="18" t="n">
        <v>2</v>
      </c>
      <c r="H37" s="18" t="n">
        <v>2</v>
      </c>
      <c r="I37" s="18" t="n">
        <v>1</v>
      </c>
      <c r="J37" s="23" t="n">
        <f aca="false">SUMPRODUCT(C37:I37,$C$7:$I$7)</f>
        <v>46</v>
      </c>
      <c r="L37" s="20" t="str">
        <f aca="false">A37&amp;"|"&amp;B37</f>
        <v>Кухар гриль|В</v>
      </c>
    </row>
    <row r="38" customFormat="false" ht="15" hidden="false" customHeight="false" outlineLevel="0" collapsed="false">
      <c r="A38" s="7" t="s">
        <v>101</v>
      </c>
      <c r="B38" s="6" t="s">
        <v>41</v>
      </c>
      <c r="C38" s="18" t="n">
        <v>1</v>
      </c>
      <c r="D38" s="18" t="n">
        <v>1</v>
      </c>
      <c r="E38" s="18" t="n">
        <v>1</v>
      </c>
      <c r="F38" s="18" t="n">
        <v>1</v>
      </c>
      <c r="G38" s="18" t="n">
        <v>1</v>
      </c>
      <c r="H38" s="18" t="n">
        <v>1</v>
      </c>
      <c r="I38" s="18" t="n">
        <v>1</v>
      </c>
      <c r="J38" s="23" t="n">
        <f aca="false">SUMPRODUCT(C38:I38,$C$7:$I$7)</f>
        <v>31</v>
      </c>
      <c r="L38" s="20" t="str">
        <f aca="false">A38&amp;"|"&amp;B38</f>
        <v>Кухар гарячого цеху|Р</v>
      </c>
    </row>
    <row r="39" customFormat="false" ht="15" hidden="false" customHeight="false" outlineLevel="0" collapsed="false">
      <c r="A39" s="7" t="s">
        <v>101</v>
      </c>
      <c r="B39" s="9" t="s">
        <v>45</v>
      </c>
      <c r="C39" s="18" t="n">
        <v>0</v>
      </c>
      <c r="D39" s="18" t="n">
        <v>0</v>
      </c>
      <c r="E39" s="18" t="n">
        <v>0</v>
      </c>
      <c r="F39" s="18" t="n">
        <v>0</v>
      </c>
      <c r="G39" s="18" t="n">
        <v>0</v>
      </c>
      <c r="H39" s="18" t="n">
        <v>1</v>
      </c>
      <c r="I39" s="18" t="n">
        <v>1</v>
      </c>
      <c r="J39" s="23" t="n">
        <f aca="false">SUMPRODUCT(C39:I39,$C$7:$I$7)</f>
        <v>9</v>
      </c>
      <c r="L39" s="20" t="str">
        <f aca="false">A39&amp;"|"&amp;B39</f>
        <v>Кухар гарячого цеху|С</v>
      </c>
    </row>
    <row r="40" customFormat="false" ht="15" hidden="false" customHeight="false" outlineLevel="0" collapsed="false">
      <c r="A40" s="7" t="s">
        <v>101</v>
      </c>
      <c r="B40" s="10" t="s">
        <v>49</v>
      </c>
      <c r="C40" s="18" t="n">
        <v>1</v>
      </c>
      <c r="D40" s="18" t="n">
        <v>1</v>
      </c>
      <c r="E40" s="18" t="n">
        <v>1</v>
      </c>
      <c r="F40" s="18" t="n">
        <v>1</v>
      </c>
      <c r="G40" s="18" t="n">
        <v>2</v>
      </c>
      <c r="H40" s="18" t="n">
        <v>2</v>
      </c>
      <c r="I40" s="18" t="n">
        <v>1</v>
      </c>
      <c r="J40" s="23" t="n">
        <f aca="false">SUMPRODUCT(C40:I40,$C$7:$I$7)</f>
        <v>41</v>
      </c>
      <c r="L40" s="20" t="str">
        <f aca="false">A40&amp;"|"&amp;B40</f>
        <v>Кухар гарячого цеху|В</v>
      </c>
    </row>
    <row r="41" customFormat="false" ht="15" hidden="false" customHeight="false" outlineLevel="0" collapsed="false">
      <c r="A41" s="7" t="s">
        <v>102</v>
      </c>
      <c r="B41" s="6" t="s">
        <v>41</v>
      </c>
      <c r="C41" s="18" t="n">
        <v>1</v>
      </c>
      <c r="D41" s="18" t="n">
        <v>1</v>
      </c>
      <c r="E41" s="18" t="n">
        <v>1</v>
      </c>
      <c r="F41" s="18" t="n">
        <v>1</v>
      </c>
      <c r="G41" s="18" t="n">
        <v>1</v>
      </c>
      <c r="H41" s="18" t="n">
        <v>1</v>
      </c>
      <c r="I41" s="18" t="n">
        <v>1</v>
      </c>
      <c r="J41" s="23" t="n">
        <f aca="false">SUMPRODUCT(C41:I41,$C$7:$I$7)</f>
        <v>31</v>
      </c>
      <c r="L41" s="20" t="str">
        <f aca="false">A41&amp;"|"&amp;B41</f>
        <v>Кухар холодного цеху|Р</v>
      </c>
    </row>
    <row r="42" customFormat="false" ht="15" hidden="false" customHeight="false" outlineLevel="0" collapsed="false">
      <c r="A42" s="7" t="s">
        <v>102</v>
      </c>
      <c r="B42" s="9" t="s">
        <v>45</v>
      </c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1</v>
      </c>
      <c r="H42" s="18" t="n">
        <v>1</v>
      </c>
      <c r="I42" s="18" t="n">
        <v>0</v>
      </c>
      <c r="J42" s="23" t="n">
        <f aca="false">SUMPRODUCT(C42:I42,$C$7:$I$7)</f>
        <v>10</v>
      </c>
      <c r="L42" s="20" t="str">
        <f aca="false">A42&amp;"|"&amp;B42</f>
        <v>Кухар холодного цеху|С</v>
      </c>
    </row>
    <row r="43" customFormat="false" ht="15" hidden="false" customHeight="false" outlineLevel="0" collapsed="false">
      <c r="A43" s="7" t="s">
        <v>102</v>
      </c>
      <c r="B43" s="10" t="s">
        <v>49</v>
      </c>
      <c r="C43" s="18" t="n">
        <v>1</v>
      </c>
      <c r="D43" s="18" t="n">
        <v>1</v>
      </c>
      <c r="E43" s="18" t="n">
        <v>1</v>
      </c>
      <c r="F43" s="18" t="n">
        <v>1</v>
      </c>
      <c r="G43" s="18" t="n">
        <v>1</v>
      </c>
      <c r="H43" s="18" t="n">
        <v>1</v>
      </c>
      <c r="I43" s="18" t="n">
        <v>1</v>
      </c>
      <c r="J43" s="23" t="n">
        <f aca="false">SUMPRODUCT(C43:I43,$C$7:$I$7)</f>
        <v>31</v>
      </c>
      <c r="L43" s="20" t="str">
        <f aca="false">A43&amp;"|"&amp;B43</f>
        <v>Кухар холодного цеху|В</v>
      </c>
    </row>
    <row r="44" customFormat="false" ht="15" hidden="false" customHeight="false" outlineLevel="0" collapsed="false">
      <c r="A44" s="7" t="s">
        <v>103</v>
      </c>
      <c r="B44" s="6" t="s">
        <v>41</v>
      </c>
      <c r="C44" s="18" t="n">
        <v>1</v>
      </c>
      <c r="D44" s="18" t="n">
        <v>1</v>
      </c>
      <c r="E44" s="18" t="n">
        <v>1</v>
      </c>
      <c r="F44" s="18" t="n">
        <v>1</v>
      </c>
      <c r="G44" s="18" t="n">
        <v>1</v>
      </c>
      <c r="H44" s="18" t="n">
        <v>1</v>
      </c>
      <c r="I44" s="18" t="n">
        <v>1</v>
      </c>
      <c r="J44" s="23" t="n">
        <f aca="false">SUMPRODUCT(C44:I44,$C$7:$I$7)</f>
        <v>31</v>
      </c>
      <c r="L44" s="20" t="str">
        <f aca="false">A44&amp;"|"&amp;B44</f>
        <v>Кондитер|Р</v>
      </c>
    </row>
    <row r="45" customFormat="false" ht="15" hidden="false" customHeight="false" outlineLevel="0" collapsed="false">
      <c r="A45" s="7" t="s">
        <v>104</v>
      </c>
      <c r="B45" s="6" t="s">
        <v>41</v>
      </c>
      <c r="C45" s="18" t="n">
        <v>1</v>
      </c>
      <c r="D45" s="18" t="n">
        <v>1</v>
      </c>
      <c r="E45" s="18" t="n">
        <v>1</v>
      </c>
      <c r="F45" s="18" t="n">
        <v>1</v>
      </c>
      <c r="G45" s="18" t="n">
        <v>1</v>
      </c>
      <c r="H45" s="18" t="n">
        <v>1</v>
      </c>
      <c r="I45" s="18" t="n">
        <v>1</v>
      </c>
      <c r="J45" s="23" t="n">
        <f aca="false">SUMPRODUCT(C45:I45,$C$7:$I$7)</f>
        <v>31</v>
      </c>
      <c r="L45" s="20" t="str">
        <f aca="false">A45&amp;"|"&amp;B45</f>
        <v>Мийник|Р</v>
      </c>
    </row>
    <row r="46" customFormat="false" ht="15" hidden="false" customHeight="false" outlineLevel="0" collapsed="false">
      <c r="A46" s="7" t="s">
        <v>104</v>
      </c>
      <c r="B46" s="10" t="s">
        <v>49</v>
      </c>
      <c r="C46" s="18" t="n">
        <v>1</v>
      </c>
      <c r="D46" s="18" t="n">
        <v>1</v>
      </c>
      <c r="E46" s="18" t="n">
        <v>1</v>
      </c>
      <c r="F46" s="18" t="n">
        <v>1</v>
      </c>
      <c r="G46" s="18" t="n">
        <v>1</v>
      </c>
      <c r="H46" s="18" t="n">
        <v>1</v>
      </c>
      <c r="I46" s="18" t="n">
        <v>1</v>
      </c>
      <c r="J46" s="23" t="n">
        <f aca="false">SUMPRODUCT(C46:I46,$C$7:$I$7)</f>
        <v>31</v>
      </c>
      <c r="L46" s="20" t="str">
        <f aca="false">A46&amp;"|"&amp;B46</f>
        <v>Мийник|В</v>
      </c>
    </row>
    <row r="47" customFormat="false" ht="15" hidden="false" customHeight="false" outlineLevel="0" collapsed="false">
      <c r="A47" s="7" t="s">
        <v>104</v>
      </c>
      <c r="B47" s="11" t="s">
        <v>55</v>
      </c>
      <c r="C47" s="18" t="n">
        <v>0</v>
      </c>
      <c r="D47" s="18" t="n">
        <v>0</v>
      </c>
      <c r="E47" s="18" t="n">
        <v>0</v>
      </c>
      <c r="F47" s="18" t="n">
        <v>0</v>
      </c>
      <c r="G47" s="18" t="n">
        <v>1</v>
      </c>
      <c r="H47" s="18" t="n">
        <v>1</v>
      </c>
      <c r="I47" s="18" t="n">
        <v>0</v>
      </c>
      <c r="J47" s="23" t="n">
        <f aca="false">SUMPRODUCT(C47:I47,$C$7:$I$7)</f>
        <v>10</v>
      </c>
      <c r="L47" s="20" t="str">
        <f aca="false">A47&amp;"|"&amp;B47</f>
        <v>Мийник|П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7" min="5" style="0" width="12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4" customFormat="false" ht="15" hidden="false" customHeight="false" outlineLevel="0" collapsed="false">
      <c r="A4" s="5" t="s">
        <v>107</v>
      </c>
      <c r="B4" s="5" t="s">
        <v>88</v>
      </c>
      <c r="C4" s="5" t="s">
        <v>108</v>
      </c>
      <c r="D4" s="5" t="s">
        <v>109</v>
      </c>
      <c r="E4" s="5" t="s">
        <v>110</v>
      </c>
      <c r="F4" s="5" t="s">
        <v>111</v>
      </c>
      <c r="G4" s="5" t="s">
        <v>112</v>
      </c>
      <c r="H4" s="5" t="s">
        <v>113</v>
      </c>
    </row>
    <row r="5" customFormat="false" ht="15" hidden="false" customHeight="false" outlineLevel="0" collapsed="false">
      <c r="A5" s="7" t="s">
        <v>91</v>
      </c>
      <c r="B5" s="7" t="s">
        <v>92</v>
      </c>
      <c r="C5" s="8" t="n">
        <f aca="false">COUNTA('Графік Зал'!C13:C15)</f>
        <v>3</v>
      </c>
      <c r="D5" s="24" t="n">
        <f aca="false">SUM('Графік Зал'!AJ13:AJ15)</f>
        <v>463</v>
      </c>
      <c r="E5" s="25" t="n">
        <f aca="false">IF(C5=0,0,D5/C5)</f>
        <v>154.333333333333</v>
      </c>
      <c r="F5" s="25" t="n">
        <f aca="false">MIN('Графік Зал'!AJ13:AJ15)</f>
        <v>149.5</v>
      </c>
      <c r="G5" s="25" t="n">
        <f aca="false">MAX('Графік Зал'!AJ13:AJ15)</f>
        <v>157</v>
      </c>
      <c r="H5" s="26" t="n">
        <f aca="false">E5-Зміни!$C$19</f>
        <v>-21.6666666666667</v>
      </c>
    </row>
    <row r="6" customFormat="false" ht="15" hidden="false" customHeight="false" outlineLevel="0" collapsed="false">
      <c r="A6" s="7" t="s">
        <v>91</v>
      </c>
      <c r="B6" s="7" t="s">
        <v>93</v>
      </c>
      <c r="C6" s="8" t="n">
        <f aca="false">COUNTA('Графік Зал'!C20:C23)</f>
        <v>4</v>
      </c>
      <c r="D6" s="24" t="n">
        <f aca="false">SUM('Графік Зал'!AJ20:AJ23)</f>
        <v>555</v>
      </c>
      <c r="E6" s="25" t="n">
        <f aca="false">IF(C6=0,0,D6/C6)</f>
        <v>138.75</v>
      </c>
      <c r="F6" s="25" t="n">
        <f aca="false">MIN('Графік Зал'!AJ20:AJ23)</f>
        <v>138</v>
      </c>
      <c r="G6" s="25" t="n">
        <f aca="false">MAX('Графік Зал'!AJ20:AJ23)</f>
        <v>139.5</v>
      </c>
      <c r="H6" s="26" t="n">
        <f aca="false">E6-Зміни!$C$19</f>
        <v>-37.25</v>
      </c>
    </row>
    <row r="7" customFormat="false" ht="15" hidden="false" customHeight="false" outlineLevel="0" collapsed="false">
      <c r="A7" s="7" t="s">
        <v>91</v>
      </c>
      <c r="B7" s="7" t="s">
        <v>94</v>
      </c>
      <c r="C7" s="8" t="n">
        <f aca="false">COUNTA('Графік Зал'!C30:C40)</f>
        <v>11</v>
      </c>
      <c r="D7" s="24" t="n">
        <f aca="false">SUM('Графік Зал'!AJ30:AJ40)</f>
        <v>1650.5</v>
      </c>
      <c r="E7" s="25" t="n">
        <f aca="false">IF(C7=0,0,D7/C7)</f>
        <v>150.045454545455</v>
      </c>
      <c r="F7" s="25" t="n">
        <f aca="false">MIN('Графік Зал'!AJ30:AJ40)</f>
        <v>149</v>
      </c>
      <c r="G7" s="25" t="n">
        <f aca="false">MAX('Графік Зал'!AJ30:AJ40)</f>
        <v>151.5</v>
      </c>
      <c r="H7" s="26" t="n">
        <f aca="false">E7-Зміни!$C$19</f>
        <v>-25.9545454545455</v>
      </c>
    </row>
    <row r="8" customFormat="false" ht="15" hidden="false" customHeight="false" outlineLevel="0" collapsed="false">
      <c r="A8" s="7" t="s">
        <v>91</v>
      </c>
      <c r="B8" s="7" t="s">
        <v>95</v>
      </c>
      <c r="C8" s="8" t="n">
        <f aca="false">COUNTA('Графік Зал'!C47:C52)</f>
        <v>6</v>
      </c>
      <c r="D8" s="24" t="n">
        <f aca="false">SUM('Графік Зал'!AJ47:AJ52)</f>
        <v>815</v>
      </c>
      <c r="E8" s="25" t="n">
        <f aca="false">IF(C8=0,0,D8/C8)</f>
        <v>135.833333333333</v>
      </c>
      <c r="F8" s="25" t="n">
        <f aca="false">MIN('Графік Зал'!AJ47:AJ52)</f>
        <v>134.5</v>
      </c>
      <c r="G8" s="25" t="n">
        <f aca="false">MAX('Графік Зал'!AJ47:AJ52)</f>
        <v>137</v>
      </c>
      <c r="H8" s="26" t="n">
        <f aca="false">E8-Зміни!$C$19</f>
        <v>-40.1666666666667</v>
      </c>
    </row>
    <row r="9" customFormat="false" ht="15" hidden="false" customHeight="false" outlineLevel="0" collapsed="false">
      <c r="A9" s="7" t="s">
        <v>91</v>
      </c>
      <c r="B9" s="7" t="s">
        <v>96</v>
      </c>
      <c r="C9" s="8" t="n">
        <f aca="false">COUNTA('Графік Зал'!C59:C60)</f>
        <v>2</v>
      </c>
      <c r="D9" s="24" t="n">
        <f aca="false">SUM('Графік Зал'!AJ59:AJ60)</f>
        <v>350.5</v>
      </c>
      <c r="E9" s="25" t="n">
        <f aca="false">IF(C9=0,0,D9/C9)</f>
        <v>175.25</v>
      </c>
      <c r="F9" s="25" t="n">
        <f aca="false">MIN('Графік Зал'!AJ59:AJ60)</f>
        <v>174.5</v>
      </c>
      <c r="G9" s="25" t="n">
        <f aca="false">MAX('Графік Зал'!AJ59:AJ60)</f>
        <v>176</v>
      </c>
      <c r="H9" s="26" t="n">
        <f aca="false">E9-Зміни!$C$19</f>
        <v>-0.75</v>
      </c>
    </row>
    <row r="10" customFormat="false" ht="15" hidden="false" customHeight="false" outlineLevel="0" collapsed="false">
      <c r="A10" s="7" t="s">
        <v>91</v>
      </c>
      <c r="B10" s="7" t="s">
        <v>97</v>
      </c>
      <c r="C10" s="8" t="n">
        <f aca="false">COUNTA('Графік Зал'!C65:C68)</f>
        <v>4</v>
      </c>
      <c r="D10" s="24" t="n">
        <f aca="false">SUM('Графік Зал'!AJ65:AJ68)</f>
        <v>523</v>
      </c>
      <c r="E10" s="25" t="n">
        <f aca="false">IF(C10=0,0,D10/C10)</f>
        <v>130.75</v>
      </c>
      <c r="F10" s="25" t="n">
        <f aca="false">MIN('Графік Зал'!AJ65:AJ68)</f>
        <v>130</v>
      </c>
      <c r="G10" s="25" t="n">
        <f aca="false">MAX('Графік Зал'!AJ65:AJ68)</f>
        <v>131.5</v>
      </c>
      <c r="H10" s="26" t="n">
        <f aca="false">E10-Зміни!$C$19</f>
        <v>-45.25</v>
      </c>
    </row>
    <row r="11" customFormat="false" ht="15" hidden="false" customHeight="false" outlineLevel="0" collapsed="false">
      <c r="A11" s="7" t="s">
        <v>98</v>
      </c>
      <c r="B11" s="7" t="s">
        <v>99</v>
      </c>
      <c r="C11" s="8" t="n">
        <f aca="false">COUNTA('Графік Кухня'!C13:C15)</f>
        <v>3</v>
      </c>
      <c r="D11" s="24" t="n">
        <f aca="false">SUM('Графік Кухня'!AJ13:AJ15)</f>
        <v>463</v>
      </c>
      <c r="E11" s="25" t="n">
        <f aca="false">IF(C11=0,0,D11/C11)</f>
        <v>154.333333333333</v>
      </c>
      <c r="F11" s="25" t="n">
        <f aca="false">MIN('Графік Кухня'!AJ13:AJ15)</f>
        <v>149.5</v>
      </c>
      <c r="G11" s="25" t="n">
        <f aca="false">MAX('Графік Кухня'!AJ13:AJ15)</f>
        <v>157</v>
      </c>
      <c r="H11" s="26" t="n">
        <f aca="false">E11-Зміни!$C$19</f>
        <v>-21.6666666666667</v>
      </c>
    </row>
    <row r="12" customFormat="false" ht="15" hidden="false" customHeight="false" outlineLevel="0" collapsed="false">
      <c r="A12" s="7" t="s">
        <v>98</v>
      </c>
      <c r="B12" s="7" t="s">
        <v>100</v>
      </c>
      <c r="C12" s="8" t="n">
        <f aca="false">COUNTA('Графік Кухня'!C20:C23)</f>
        <v>4</v>
      </c>
      <c r="D12" s="24" t="n">
        <f aca="false">SUM('Графік Кухня'!AJ20:AJ23)</f>
        <v>687.5</v>
      </c>
      <c r="E12" s="25" t="n">
        <f aca="false">IF(C12=0,0,D12/C12)</f>
        <v>171.875</v>
      </c>
      <c r="F12" s="25" t="n">
        <f aca="false">MIN('Графік Кухня'!AJ20:AJ23)</f>
        <v>171</v>
      </c>
      <c r="G12" s="25" t="n">
        <f aca="false">MAX('Графік Кухня'!AJ20:AJ23)</f>
        <v>172.5</v>
      </c>
      <c r="H12" s="26" t="n">
        <f aca="false">E12-Зміни!$C$19</f>
        <v>-4.125</v>
      </c>
    </row>
    <row r="13" customFormat="false" ht="15" hidden="false" customHeight="false" outlineLevel="0" collapsed="false">
      <c r="A13" s="7" t="s">
        <v>98</v>
      </c>
      <c r="B13" s="7" t="s">
        <v>101</v>
      </c>
      <c r="C13" s="8" t="n">
        <f aca="false">COUNTA('Графік Кухня'!C29:C32)</f>
        <v>4</v>
      </c>
      <c r="D13" s="24" t="n">
        <f aca="false">SUM('Графік Кухня'!AJ29:AJ32)</f>
        <v>610</v>
      </c>
      <c r="E13" s="25" t="n">
        <f aca="false">IF(C13=0,0,D13/C13)</f>
        <v>152.5</v>
      </c>
      <c r="F13" s="25" t="n">
        <f aca="false">MIN('Графік Кухня'!AJ29:AJ32)</f>
        <v>150</v>
      </c>
      <c r="G13" s="25" t="n">
        <f aca="false">MAX('Графік Кухня'!AJ29:AJ32)</f>
        <v>156.5</v>
      </c>
      <c r="H13" s="26" t="n">
        <f aca="false">E13-Зміни!$C$19</f>
        <v>-23.5</v>
      </c>
    </row>
    <row r="14" customFormat="false" ht="15" hidden="false" customHeight="false" outlineLevel="0" collapsed="false">
      <c r="A14" s="7" t="s">
        <v>98</v>
      </c>
      <c r="B14" s="7" t="s">
        <v>102</v>
      </c>
      <c r="C14" s="8" t="n">
        <f aca="false">COUNTA('Графік Кухня'!C38:C41)</f>
        <v>4</v>
      </c>
      <c r="D14" s="24" t="n">
        <f aca="false">SUM('Графік Кухня'!AJ38:AJ41)</f>
        <v>543</v>
      </c>
      <c r="E14" s="25" t="n">
        <f aca="false">IF(C14=0,0,D14/C14)</f>
        <v>135.75</v>
      </c>
      <c r="F14" s="25" t="n">
        <f aca="false">MIN('Графік Кухня'!AJ38:AJ41)</f>
        <v>135.5</v>
      </c>
      <c r="G14" s="25" t="n">
        <f aca="false">MAX('Графік Кухня'!AJ38:AJ41)</f>
        <v>136.5</v>
      </c>
      <c r="H14" s="26" t="n">
        <f aca="false">E14-Зміни!$C$19</f>
        <v>-40.25</v>
      </c>
    </row>
    <row r="15" customFormat="false" ht="15" hidden="false" customHeight="false" outlineLevel="0" collapsed="false">
      <c r="A15" s="7" t="s">
        <v>98</v>
      </c>
      <c r="B15" s="7" t="s">
        <v>103</v>
      </c>
      <c r="C15" s="8" t="n">
        <f aca="false">COUNTA('Графік Кухня'!C47:C48)</f>
        <v>2</v>
      </c>
      <c r="D15" s="24" t="n">
        <f aca="false">SUM('Графік Кухня'!AJ47:AJ48)</f>
        <v>232.5</v>
      </c>
      <c r="E15" s="25" t="n">
        <f aca="false">IF(C15=0,0,D15/C15)</f>
        <v>116.25</v>
      </c>
      <c r="F15" s="25" t="n">
        <f aca="false">MIN('Графік Кухня'!AJ47:AJ48)</f>
        <v>112.5</v>
      </c>
      <c r="G15" s="25" t="n">
        <f aca="false">MAX('Графік Кухня'!AJ47:AJ48)</f>
        <v>120</v>
      </c>
      <c r="H15" s="26" t="n">
        <f aca="false">E15-Зміни!$C$19</f>
        <v>-59.75</v>
      </c>
    </row>
    <row r="16" customFormat="false" ht="15" hidden="false" customHeight="false" outlineLevel="0" collapsed="false">
      <c r="A16" s="7" t="s">
        <v>98</v>
      </c>
      <c r="B16" s="7" t="s">
        <v>104</v>
      </c>
      <c r="C16" s="8" t="n">
        <f aca="false">COUNTA('Графік Кухня'!C52:C55)</f>
        <v>4</v>
      </c>
      <c r="D16" s="24" t="n">
        <f aca="false">SUM('Графік Кухня'!AJ52:AJ55)</f>
        <v>523</v>
      </c>
      <c r="E16" s="25" t="n">
        <f aca="false">IF(C16=0,0,D16/C16)</f>
        <v>130.75</v>
      </c>
      <c r="F16" s="25" t="n">
        <f aca="false">MIN('Графік Кухня'!AJ52:AJ55)</f>
        <v>129</v>
      </c>
      <c r="G16" s="25" t="n">
        <f aca="false">MAX('Графік Кухня'!AJ52:AJ55)</f>
        <v>132</v>
      </c>
      <c r="H16" s="26" t="n">
        <f aca="false">E16-Зміни!$C$19</f>
        <v>-45.25</v>
      </c>
    </row>
    <row r="17" customFormat="false" ht="15" hidden="false" customHeight="false" outlineLevel="0" collapsed="false">
      <c r="A17" s="7"/>
      <c r="B17" s="17" t="s">
        <v>114</v>
      </c>
      <c r="C17" s="23" t="n">
        <f aca="false">SUM(C5:C16)</f>
        <v>51</v>
      </c>
      <c r="D17" s="27" t="n">
        <f aca="false">SUM(D5:D16)</f>
        <v>7416</v>
      </c>
    </row>
    <row r="19" customFormat="false" ht="15" hidden="false" customHeight="false" outlineLevel="0" collapsed="false">
      <c r="A19" s="12" t="s">
        <v>115</v>
      </c>
    </row>
    <row r="20" customFormat="false" ht="15" hidden="false" customHeight="false" outlineLevel="0" collapsed="false">
      <c r="A20" s="5" t="s">
        <v>116</v>
      </c>
      <c r="B20" s="5" t="s">
        <v>117</v>
      </c>
      <c r="C20" s="5" t="s">
        <v>118</v>
      </c>
      <c r="D20" s="5" t="s">
        <v>119</v>
      </c>
      <c r="E20" s="5" t="s">
        <v>120</v>
      </c>
    </row>
    <row r="21" customFormat="false" ht="15" hidden="false" customHeight="false" outlineLevel="0" collapsed="false">
      <c r="A21" s="23" t="s">
        <v>33</v>
      </c>
      <c r="B21" s="8" t="str">
        <f aca="false">INDEX(Норми!$C$5:$I$5,1)</f>
        <v>Низький</v>
      </c>
      <c r="C21" s="28" t="n">
        <f aca="false">SUMPRODUCT(('Графік Зал'!$D$5:$AH$5=A21)*'Графік Зал'!$D$74:$AH$74)/COUNTIF('Графік Зал'!$D$5:$AH$5,A21)</f>
        <v>97.5</v>
      </c>
      <c r="D21" s="28" t="n">
        <f aca="false">SUMPRODUCT(('Графік Кухня'!$D$5:$AH$5=A21)*'Графік Кухня'!$D$61:$AH$61)/COUNTIF('Графік Кухня'!$D$5:$AH$5,A21)</f>
        <v>82.5</v>
      </c>
      <c r="E21" s="29" t="n">
        <f aca="false">C21+D21</f>
        <v>180</v>
      </c>
    </row>
    <row r="22" customFormat="false" ht="15" hidden="false" customHeight="false" outlineLevel="0" collapsed="false">
      <c r="A22" s="23" t="s">
        <v>34</v>
      </c>
      <c r="B22" s="8" t="str">
        <f aca="false">INDEX(Норми!$C$5:$I$5,2)</f>
        <v>Низький</v>
      </c>
      <c r="C22" s="28" t="n">
        <f aca="false">SUMPRODUCT(('Графік Зал'!$D$5:$AH$5=A22)*'Графік Зал'!$D$74:$AH$74)/COUNTIF('Графік Зал'!$D$5:$AH$5,A22)</f>
        <v>97.5</v>
      </c>
      <c r="D22" s="28" t="n">
        <f aca="false">SUMPRODUCT(('Графік Кухня'!$D$5:$AH$5=A22)*'Графік Кухня'!$D$61:$AH$61)/COUNTIF('Графік Кухня'!$D$5:$AH$5,A22)</f>
        <v>82.5</v>
      </c>
      <c r="E22" s="29" t="n">
        <f aca="false">C22+D22</f>
        <v>180</v>
      </c>
    </row>
    <row r="23" customFormat="false" ht="15" hidden="false" customHeight="false" outlineLevel="0" collapsed="false">
      <c r="A23" s="23" t="s">
        <v>35</v>
      </c>
      <c r="B23" s="8" t="str">
        <f aca="false">INDEX(Норми!$C$5:$I$5,3)</f>
        <v>Середній</v>
      </c>
      <c r="C23" s="28" t="n">
        <f aca="false">SUMPRODUCT(('Графік Зал'!$D$5:$AH$5=A23)*'Графік Зал'!$D$74:$AH$74)/COUNTIF('Графік Зал'!$D$5:$AH$5,A23)</f>
        <v>105</v>
      </c>
      <c r="D23" s="28" t="n">
        <f aca="false">SUMPRODUCT(('Графік Кухня'!$D$5:$AH$5=A23)*'Графік Кухня'!$D$61:$AH$61)/COUNTIF('Графік Кухня'!$D$5:$AH$5,A23)</f>
        <v>82.5</v>
      </c>
      <c r="E23" s="29" t="n">
        <f aca="false">C23+D23</f>
        <v>187.5</v>
      </c>
    </row>
    <row r="24" customFormat="false" ht="15" hidden="false" customHeight="false" outlineLevel="0" collapsed="false">
      <c r="A24" s="23" t="s">
        <v>36</v>
      </c>
      <c r="B24" s="8" t="str">
        <f aca="false">INDEX(Норми!$C$5:$I$5,4)</f>
        <v>Високий</v>
      </c>
      <c r="C24" s="28" t="n">
        <f aca="false">SUMPRODUCT(('Графік Зал'!$D$5:$AH$5=A24)*'Графік Зал'!$D$74:$AH$74)/COUNTIF('Графік Зал'!$D$5:$AH$5,A24)</f>
        <v>134.5</v>
      </c>
      <c r="D24" s="28" t="n">
        <f aca="false">SUMPRODUCT(('Графік Кухня'!$D$5:$AH$5=A24)*'Графік Кухня'!$D$61:$AH$61)/COUNTIF('Графік Кухня'!$D$5:$AH$5,A24)</f>
        <v>90</v>
      </c>
      <c r="E24" s="29" t="n">
        <f aca="false">C24+D24</f>
        <v>224.5</v>
      </c>
    </row>
    <row r="25" customFormat="false" ht="15" hidden="false" customHeight="false" outlineLevel="0" collapsed="false">
      <c r="A25" s="23" t="s">
        <v>37</v>
      </c>
      <c r="B25" s="8" t="str">
        <f aca="false">INDEX(Норми!$C$5:$I$5,5)</f>
        <v>Піковий</v>
      </c>
      <c r="C25" s="28" t="n">
        <f aca="false">SUMPRODUCT(('Графік Зал'!$D$5:$AH$5=A25)*'Графік Зал'!$D$74:$AH$74)/COUNTIF('Графік Зал'!$D$5:$AH$5,A25)</f>
        <v>181.5</v>
      </c>
      <c r="D25" s="28" t="n">
        <f aca="false">SUMPRODUCT(('Графік Кухня'!$D$5:$AH$5=A25)*'Графік Кухня'!$D$61:$AH$61)/COUNTIF('Графік Кухня'!$D$5:$AH$5,A25)</f>
        <v>119.5</v>
      </c>
      <c r="E25" s="29" t="n">
        <f aca="false">C25+D25</f>
        <v>301</v>
      </c>
    </row>
    <row r="26" customFormat="false" ht="15" hidden="false" customHeight="false" outlineLevel="0" collapsed="false">
      <c r="A26" s="23" t="s">
        <v>38</v>
      </c>
      <c r="B26" s="8" t="str">
        <f aca="false">INDEX(Норми!$C$5:$I$5,6)</f>
        <v>Піковий</v>
      </c>
      <c r="C26" s="28" t="n">
        <f aca="false">SUMPRODUCT(('Графік Зал'!$D$5:$AH$5=A26)*'Графік Зал'!$D$74:$AH$74)/COUNTIF('Графік Зал'!$D$5:$AH$5,A26)</f>
        <v>197</v>
      </c>
      <c r="D26" s="28" t="n">
        <f aca="false">SUMPRODUCT(('Графік Кухня'!$D$5:$AH$5=A26)*'Графік Кухня'!$D$61:$AH$61)/COUNTIF('Графік Кухня'!$D$5:$AH$5,A26)</f>
        <v>127.5</v>
      </c>
      <c r="E26" s="29" t="n">
        <f aca="false">C26+D26</f>
        <v>324.5</v>
      </c>
    </row>
    <row r="27" customFormat="false" ht="15" hidden="false" customHeight="false" outlineLevel="0" collapsed="false">
      <c r="A27" s="23" t="s">
        <v>39</v>
      </c>
      <c r="B27" s="8" t="str">
        <f aca="false">INDEX(Норми!$C$5:$I$5,7)</f>
        <v>Високий</v>
      </c>
      <c r="C27" s="28" t="n">
        <f aca="false">SUMPRODUCT(('Графік Зал'!$D$5:$AH$5=A27)*'Графік Зал'!$D$74:$AH$74)/COUNTIF('Графік Зал'!$D$5:$AH$5,A27)</f>
        <v>148</v>
      </c>
      <c r="D27" s="28" t="n">
        <f aca="false">SUMPRODUCT(('Графік Кухня'!$D$5:$AH$5=A27)*'Графік Кухня'!$D$61:$AH$61)/COUNTIF('Графік Кухня'!$D$5:$AH$5,A27)</f>
        <v>96</v>
      </c>
      <c r="E27" s="29" t="n">
        <f aca="false">C27+D27</f>
        <v>244</v>
      </c>
    </row>
    <row r="29" customFormat="false" ht="15" hidden="false" customHeight="false" outlineLevel="0" collapsed="false">
      <c r="A29" s="2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34" min="4" style="0" width="4.2"/>
    <col collapsed="false" customWidth="true" hidden="false" outlineLevel="0" max="35" min="35" style="0" width="7"/>
    <col collapsed="false" customWidth="true" hidden="false" outlineLevel="0" max="36" min="36" style="0" width="8"/>
    <col collapsed="false" customWidth="true" hidden="false" outlineLevel="0" max="37" min="37" style="0" width="9"/>
    <col collapsed="false" customWidth="true" hidden="false" outlineLevel="0" max="38" min="38" style="0" width="8"/>
    <col collapsed="false" customWidth="true" hidden="false" outlineLevel="0" max="39" min="39" style="0" width="10"/>
  </cols>
  <sheetData>
    <row r="1" customFormat="false" ht="17.3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18" hidden="false" customHeight="true" outlineLevel="0" collapsed="false">
      <c r="A4" s="5" t="s">
        <v>124</v>
      </c>
      <c r="B4" s="5" t="s">
        <v>88</v>
      </c>
      <c r="C4" s="5" t="s">
        <v>125</v>
      </c>
      <c r="D4" s="5" t="n">
        <v>1</v>
      </c>
      <c r="E4" s="5" t="n">
        <v>2</v>
      </c>
      <c r="F4" s="5" t="n">
        <v>3</v>
      </c>
      <c r="G4" s="5" t="n">
        <v>4</v>
      </c>
      <c r="H4" s="5" t="n">
        <v>5</v>
      </c>
      <c r="I4" s="5" t="n">
        <v>6</v>
      </c>
      <c r="J4" s="5" t="n">
        <v>7</v>
      </c>
      <c r="K4" s="5" t="n">
        <v>8</v>
      </c>
      <c r="L4" s="5" t="n">
        <v>9</v>
      </c>
      <c r="M4" s="5" t="n">
        <v>10</v>
      </c>
      <c r="N4" s="5" t="n">
        <v>11</v>
      </c>
      <c r="O4" s="5" t="n">
        <v>12</v>
      </c>
      <c r="P4" s="5" t="n">
        <v>13</v>
      </c>
      <c r="Q4" s="5" t="n">
        <v>14</v>
      </c>
      <c r="R4" s="5" t="n">
        <v>15</v>
      </c>
      <c r="S4" s="5" t="n">
        <v>16</v>
      </c>
      <c r="T4" s="5" t="n">
        <v>17</v>
      </c>
      <c r="U4" s="5" t="n">
        <v>18</v>
      </c>
      <c r="V4" s="5" t="n">
        <v>19</v>
      </c>
      <c r="W4" s="5" t="n">
        <v>20</v>
      </c>
      <c r="X4" s="5" t="n">
        <v>21</v>
      </c>
      <c r="Y4" s="5" t="n">
        <v>22</v>
      </c>
      <c r="Z4" s="5" t="n">
        <v>23</v>
      </c>
      <c r="AA4" s="5" t="n">
        <v>24</v>
      </c>
      <c r="AB4" s="5" t="n">
        <v>25</v>
      </c>
      <c r="AC4" s="5" t="n">
        <v>26</v>
      </c>
      <c r="AD4" s="5" t="n">
        <v>27</v>
      </c>
      <c r="AE4" s="5" t="n">
        <v>28</v>
      </c>
      <c r="AF4" s="5" t="n">
        <v>29</v>
      </c>
      <c r="AG4" s="5" t="n">
        <v>30</v>
      </c>
      <c r="AH4" s="5" t="n">
        <v>31</v>
      </c>
      <c r="AI4" s="30" t="s">
        <v>126</v>
      </c>
      <c r="AJ4" s="30" t="s">
        <v>127</v>
      </c>
      <c r="AK4" s="30" t="s">
        <v>128</v>
      </c>
      <c r="AL4" s="30" t="s">
        <v>129</v>
      </c>
      <c r="AM4" s="30" t="s">
        <v>130</v>
      </c>
    </row>
    <row r="5" customFormat="false" ht="15" hidden="false" customHeight="false" outlineLevel="0" collapsed="false">
      <c r="A5" s="16"/>
      <c r="B5" s="16"/>
      <c r="C5" s="16"/>
      <c r="D5" s="23" t="s">
        <v>36</v>
      </c>
      <c r="E5" s="31" t="s">
        <v>37</v>
      </c>
      <c r="F5" s="31" t="s">
        <v>38</v>
      </c>
      <c r="G5" s="23" t="s">
        <v>39</v>
      </c>
      <c r="H5" s="23" t="s">
        <v>33</v>
      </c>
      <c r="I5" s="23" t="s">
        <v>34</v>
      </c>
      <c r="J5" s="23" t="s">
        <v>35</v>
      </c>
      <c r="K5" s="23" t="s">
        <v>36</v>
      </c>
      <c r="L5" s="31" t="s">
        <v>37</v>
      </c>
      <c r="M5" s="31" t="s">
        <v>38</v>
      </c>
      <c r="N5" s="23" t="s">
        <v>39</v>
      </c>
      <c r="O5" s="23" t="s">
        <v>33</v>
      </c>
      <c r="P5" s="23" t="s">
        <v>34</v>
      </c>
      <c r="Q5" s="23" t="s">
        <v>35</v>
      </c>
      <c r="R5" s="23" t="s">
        <v>36</v>
      </c>
      <c r="S5" s="31" t="s">
        <v>37</v>
      </c>
      <c r="T5" s="31" t="s">
        <v>38</v>
      </c>
      <c r="U5" s="23" t="s">
        <v>39</v>
      </c>
      <c r="V5" s="23" t="s">
        <v>33</v>
      </c>
      <c r="W5" s="23" t="s">
        <v>34</v>
      </c>
      <c r="X5" s="23" t="s">
        <v>35</v>
      </c>
      <c r="Y5" s="23" t="s">
        <v>36</v>
      </c>
      <c r="Z5" s="31" t="s">
        <v>37</v>
      </c>
      <c r="AA5" s="31" t="s">
        <v>38</v>
      </c>
      <c r="AB5" s="23" t="s">
        <v>39</v>
      </c>
      <c r="AC5" s="23" t="s">
        <v>33</v>
      </c>
      <c r="AD5" s="23" t="s">
        <v>34</v>
      </c>
      <c r="AE5" s="23" t="s">
        <v>35</v>
      </c>
      <c r="AF5" s="23" t="s">
        <v>36</v>
      </c>
      <c r="AG5" s="31" t="s">
        <v>37</v>
      </c>
      <c r="AH5" s="31" t="s">
        <v>38</v>
      </c>
      <c r="AI5" s="30"/>
      <c r="AJ5" s="30"/>
      <c r="AK5" s="30"/>
      <c r="AL5" s="30"/>
      <c r="AM5" s="30"/>
    </row>
    <row r="6" customFormat="false" ht="15" hidden="false" customHeight="false" outlineLevel="0" collapsed="false">
      <c r="A6" s="16"/>
      <c r="B6" s="16"/>
      <c r="C6" s="32" t="s">
        <v>131</v>
      </c>
      <c r="D6" s="33" t="str">
        <f aca="false">LEFT(INDEX(Норми!$C$5:$I$5,MATCH(D$5,Норми!$C$4:$I$4,0)),3)</f>
        <v>Вис</v>
      </c>
      <c r="E6" s="34" t="str">
        <f aca="false">LEFT(INDEX(Норми!$C$5:$I$5,MATCH(E$5,Норми!$C$4:$I$4,0)),3)</f>
        <v>Пік</v>
      </c>
      <c r="F6" s="34" t="str">
        <f aca="false">LEFT(INDEX(Норми!$C$5:$I$5,MATCH(F$5,Норми!$C$4:$I$4,0)),3)</f>
        <v>Пік</v>
      </c>
      <c r="G6" s="33" t="str">
        <f aca="false">LEFT(INDEX(Норми!$C$5:$I$5,MATCH(G$5,Норми!$C$4:$I$4,0)),3)</f>
        <v>Вис</v>
      </c>
      <c r="H6" s="33" t="str">
        <f aca="false">LEFT(INDEX(Норми!$C$5:$I$5,MATCH(H$5,Норми!$C$4:$I$4,0)),3)</f>
        <v>Низ</v>
      </c>
      <c r="I6" s="33" t="str">
        <f aca="false">LEFT(INDEX(Норми!$C$5:$I$5,MATCH(I$5,Норми!$C$4:$I$4,0)),3)</f>
        <v>Низ</v>
      </c>
      <c r="J6" s="33" t="str">
        <f aca="false">LEFT(INDEX(Норми!$C$5:$I$5,MATCH(J$5,Норми!$C$4:$I$4,0)),3)</f>
        <v>Сер</v>
      </c>
      <c r="K6" s="33" t="str">
        <f aca="false">LEFT(INDEX(Норми!$C$5:$I$5,MATCH(K$5,Норми!$C$4:$I$4,0)),3)</f>
        <v>Вис</v>
      </c>
      <c r="L6" s="34" t="str">
        <f aca="false">LEFT(INDEX(Норми!$C$5:$I$5,MATCH(L$5,Норми!$C$4:$I$4,0)),3)</f>
        <v>Пік</v>
      </c>
      <c r="M6" s="34" t="str">
        <f aca="false">LEFT(INDEX(Норми!$C$5:$I$5,MATCH(M$5,Норми!$C$4:$I$4,0)),3)</f>
        <v>Пік</v>
      </c>
      <c r="N6" s="33" t="str">
        <f aca="false">LEFT(INDEX(Норми!$C$5:$I$5,MATCH(N$5,Норми!$C$4:$I$4,0)),3)</f>
        <v>Вис</v>
      </c>
      <c r="O6" s="33" t="str">
        <f aca="false">LEFT(INDEX(Норми!$C$5:$I$5,MATCH(O$5,Норми!$C$4:$I$4,0)),3)</f>
        <v>Низ</v>
      </c>
      <c r="P6" s="33" t="str">
        <f aca="false">LEFT(INDEX(Норми!$C$5:$I$5,MATCH(P$5,Норми!$C$4:$I$4,0)),3)</f>
        <v>Низ</v>
      </c>
      <c r="Q6" s="33" t="str">
        <f aca="false">LEFT(INDEX(Норми!$C$5:$I$5,MATCH(Q$5,Норми!$C$4:$I$4,0)),3)</f>
        <v>Сер</v>
      </c>
      <c r="R6" s="33" t="str">
        <f aca="false">LEFT(INDEX(Норми!$C$5:$I$5,MATCH(R$5,Норми!$C$4:$I$4,0)),3)</f>
        <v>Вис</v>
      </c>
      <c r="S6" s="34" t="str">
        <f aca="false">LEFT(INDEX(Норми!$C$5:$I$5,MATCH(S$5,Норми!$C$4:$I$4,0)),3)</f>
        <v>Пік</v>
      </c>
      <c r="T6" s="34" t="str">
        <f aca="false">LEFT(INDEX(Норми!$C$5:$I$5,MATCH(T$5,Норми!$C$4:$I$4,0)),3)</f>
        <v>Пік</v>
      </c>
      <c r="U6" s="33" t="str">
        <f aca="false">LEFT(INDEX(Норми!$C$5:$I$5,MATCH(U$5,Норми!$C$4:$I$4,0)),3)</f>
        <v>Вис</v>
      </c>
      <c r="V6" s="33" t="str">
        <f aca="false">LEFT(INDEX(Норми!$C$5:$I$5,MATCH(V$5,Норми!$C$4:$I$4,0)),3)</f>
        <v>Низ</v>
      </c>
      <c r="W6" s="33" t="str">
        <f aca="false">LEFT(INDEX(Норми!$C$5:$I$5,MATCH(W$5,Норми!$C$4:$I$4,0)),3)</f>
        <v>Низ</v>
      </c>
      <c r="X6" s="33" t="str">
        <f aca="false">LEFT(INDEX(Норми!$C$5:$I$5,MATCH(X$5,Норми!$C$4:$I$4,0)),3)</f>
        <v>Сер</v>
      </c>
      <c r="Y6" s="33" t="str">
        <f aca="false">LEFT(INDEX(Норми!$C$5:$I$5,MATCH(Y$5,Норми!$C$4:$I$4,0)),3)</f>
        <v>Вис</v>
      </c>
      <c r="Z6" s="34" t="str">
        <f aca="false">LEFT(INDEX(Норми!$C$5:$I$5,MATCH(Z$5,Норми!$C$4:$I$4,0)),3)</f>
        <v>Пік</v>
      </c>
      <c r="AA6" s="34" t="str">
        <f aca="false">LEFT(INDEX(Норми!$C$5:$I$5,MATCH(AA$5,Норми!$C$4:$I$4,0)),3)</f>
        <v>Пік</v>
      </c>
      <c r="AB6" s="33" t="str">
        <f aca="false">LEFT(INDEX(Норми!$C$5:$I$5,MATCH(AB$5,Норми!$C$4:$I$4,0)),3)</f>
        <v>Вис</v>
      </c>
      <c r="AC6" s="33" t="str">
        <f aca="false">LEFT(INDEX(Норми!$C$5:$I$5,MATCH(AC$5,Норми!$C$4:$I$4,0)),3)</f>
        <v>Низ</v>
      </c>
      <c r="AD6" s="33" t="str">
        <f aca="false">LEFT(INDEX(Норми!$C$5:$I$5,MATCH(AD$5,Норми!$C$4:$I$4,0)),3)</f>
        <v>Низ</v>
      </c>
      <c r="AE6" s="33" t="str">
        <f aca="false">LEFT(INDEX(Норми!$C$5:$I$5,MATCH(AE$5,Норми!$C$4:$I$4,0)),3)</f>
        <v>Сер</v>
      </c>
      <c r="AF6" s="33" t="str">
        <f aca="false">LEFT(INDEX(Норми!$C$5:$I$5,MATCH(AF$5,Норми!$C$4:$I$4,0)),3)</f>
        <v>Вис</v>
      </c>
      <c r="AG6" s="34" t="str">
        <f aca="false">LEFT(INDEX(Норми!$C$5:$I$5,MATCH(AG$5,Норми!$C$4:$I$4,0)),3)</f>
        <v>Пік</v>
      </c>
      <c r="AH6" s="34" t="str">
        <f aca="false">LEFT(INDEX(Норми!$C$5:$I$5,MATCH(AH$5,Норми!$C$4:$I$4,0)),3)</f>
        <v>Пік</v>
      </c>
      <c r="AI6" s="30"/>
      <c r="AJ6" s="30"/>
      <c r="AK6" s="30"/>
      <c r="AL6" s="30"/>
      <c r="AM6" s="30"/>
    </row>
    <row r="7" customFormat="false" ht="15" hidden="true" customHeight="false" outlineLevel="1" collapsed="false">
      <c r="C7" s="35" t="s">
        <v>132</v>
      </c>
      <c r="D7" s="36" t="n">
        <f aca="false">INDEX(Зміни!$C$13:$I$13,MATCH(D$5,Зміни!$C$12:$I$12,0))</f>
        <v>7.5</v>
      </c>
      <c r="E7" s="36" t="n">
        <f aca="false">INDEX(Зміни!$C$13:$I$13,MATCH(E$5,Зміни!$C$12:$I$12,0))</f>
        <v>7.5</v>
      </c>
      <c r="F7" s="36" t="n">
        <f aca="false">INDEX(Зміни!$C$13:$I$13,MATCH(F$5,Зміни!$C$12:$I$12,0))</f>
        <v>7.5</v>
      </c>
      <c r="G7" s="36" t="n">
        <f aca="false">INDEX(Зміни!$C$13:$I$13,MATCH(G$5,Зміни!$C$12:$I$12,0))</f>
        <v>7.5</v>
      </c>
      <c r="H7" s="36" t="n">
        <f aca="false">INDEX(Зміни!$C$13:$I$13,MATCH(H$5,Зміни!$C$12:$I$12,0))</f>
        <v>7.5</v>
      </c>
      <c r="I7" s="36" t="n">
        <f aca="false">INDEX(Зміни!$C$13:$I$13,MATCH(I$5,Зміни!$C$12:$I$12,0))</f>
        <v>7.5</v>
      </c>
      <c r="J7" s="36" t="n">
        <f aca="false">INDEX(Зміни!$C$13:$I$13,MATCH(J$5,Зміни!$C$12:$I$12,0))</f>
        <v>7.5</v>
      </c>
      <c r="K7" s="36" t="n">
        <f aca="false">INDEX(Зміни!$C$13:$I$13,MATCH(K$5,Зміни!$C$12:$I$12,0))</f>
        <v>7.5</v>
      </c>
      <c r="L7" s="36" t="n">
        <f aca="false">INDEX(Зміни!$C$13:$I$13,MATCH(L$5,Зміни!$C$12:$I$12,0))</f>
        <v>7.5</v>
      </c>
      <c r="M7" s="36" t="n">
        <f aca="false">INDEX(Зміни!$C$13:$I$13,MATCH(M$5,Зміни!$C$12:$I$12,0))</f>
        <v>7.5</v>
      </c>
      <c r="N7" s="36" t="n">
        <f aca="false">INDEX(Зміни!$C$13:$I$13,MATCH(N$5,Зміни!$C$12:$I$12,0))</f>
        <v>7.5</v>
      </c>
      <c r="O7" s="36" t="n">
        <f aca="false">INDEX(Зміни!$C$13:$I$13,MATCH(O$5,Зміни!$C$12:$I$12,0))</f>
        <v>7.5</v>
      </c>
      <c r="P7" s="36" t="n">
        <f aca="false">INDEX(Зміни!$C$13:$I$13,MATCH(P$5,Зміни!$C$12:$I$12,0))</f>
        <v>7.5</v>
      </c>
      <c r="Q7" s="36" t="n">
        <f aca="false">INDEX(Зміни!$C$13:$I$13,MATCH(Q$5,Зміни!$C$12:$I$12,0))</f>
        <v>7.5</v>
      </c>
      <c r="R7" s="36" t="n">
        <f aca="false">INDEX(Зміни!$C$13:$I$13,MATCH(R$5,Зміни!$C$12:$I$12,0))</f>
        <v>7.5</v>
      </c>
      <c r="S7" s="36" t="n">
        <f aca="false">INDEX(Зміни!$C$13:$I$13,MATCH(S$5,Зміни!$C$12:$I$12,0))</f>
        <v>7.5</v>
      </c>
      <c r="T7" s="36" t="n">
        <f aca="false">INDEX(Зміни!$C$13:$I$13,MATCH(T$5,Зміни!$C$12:$I$12,0))</f>
        <v>7.5</v>
      </c>
      <c r="U7" s="36" t="n">
        <f aca="false">INDEX(Зміни!$C$13:$I$13,MATCH(U$5,Зміни!$C$12:$I$12,0))</f>
        <v>7.5</v>
      </c>
      <c r="V7" s="36" t="n">
        <f aca="false">INDEX(Зміни!$C$13:$I$13,MATCH(V$5,Зміни!$C$12:$I$12,0))</f>
        <v>7.5</v>
      </c>
      <c r="W7" s="36" t="n">
        <f aca="false">INDEX(Зміни!$C$13:$I$13,MATCH(W$5,Зміни!$C$12:$I$12,0))</f>
        <v>7.5</v>
      </c>
      <c r="X7" s="36" t="n">
        <f aca="false">INDEX(Зміни!$C$13:$I$13,MATCH(X$5,Зміни!$C$12:$I$12,0))</f>
        <v>7.5</v>
      </c>
      <c r="Y7" s="36" t="n">
        <f aca="false">INDEX(Зміни!$C$13:$I$13,MATCH(Y$5,Зміни!$C$12:$I$12,0))</f>
        <v>7.5</v>
      </c>
      <c r="Z7" s="36" t="n">
        <f aca="false">INDEX(Зміни!$C$13:$I$13,MATCH(Z$5,Зміни!$C$12:$I$12,0))</f>
        <v>7.5</v>
      </c>
      <c r="AA7" s="36" t="n">
        <f aca="false">INDEX(Зміни!$C$13:$I$13,MATCH(AA$5,Зміни!$C$12:$I$12,0))</f>
        <v>7.5</v>
      </c>
      <c r="AB7" s="36" t="n">
        <f aca="false">INDEX(Зміни!$C$13:$I$13,MATCH(AB$5,Зміни!$C$12:$I$12,0))</f>
        <v>7.5</v>
      </c>
      <c r="AC7" s="36" t="n">
        <f aca="false">INDEX(Зміни!$C$13:$I$13,MATCH(AC$5,Зміни!$C$12:$I$12,0))</f>
        <v>7.5</v>
      </c>
      <c r="AD7" s="36" t="n">
        <f aca="false">INDEX(Зміни!$C$13:$I$13,MATCH(AD$5,Зміни!$C$12:$I$12,0))</f>
        <v>7.5</v>
      </c>
      <c r="AE7" s="36" t="n">
        <f aca="false">INDEX(Зміни!$C$13:$I$13,MATCH(AE$5,Зміни!$C$12:$I$12,0))</f>
        <v>7.5</v>
      </c>
      <c r="AF7" s="36" t="n">
        <f aca="false">INDEX(Зміни!$C$13:$I$13,MATCH(AF$5,Зміни!$C$12:$I$12,0))</f>
        <v>7.5</v>
      </c>
      <c r="AG7" s="36" t="n">
        <f aca="false">INDEX(Зміни!$C$13:$I$13,MATCH(AG$5,Зміни!$C$12:$I$12,0))</f>
        <v>7.5</v>
      </c>
      <c r="AH7" s="36" t="n">
        <f aca="false">INDEX(Зміни!$C$13:$I$13,MATCH(AH$5,Зміни!$C$12:$I$12,0))</f>
        <v>7.5</v>
      </c>
    </row>
    <row r="8" customFormat="false" ht="15" hidden="true" customHeight="false" outlineLevel="1" collapsed="false">
      <c r="C8" s="35" t="s">
        <v>133</v>
      </c>
      <c r="D8" s="36" t="n">
        <f aca="false">INDEX(Зміни!$C$14:$I$14,MATCH(D$5,Зміни!$C$12:$I$12,0))</f>
        <v>8</v>
      </c>
      <c r="E8" s="36" t="n">
        <f aca="false">INDEX(Зміни!$C$14:$I$14,MATCH(E$5,Зміни!$C$12:$I$12,0))</f>
        <v>8</v>
      </c>
      <c r="F8" s="36" t="n">
        <f aca="false">INDEX(Зміни!$C$14:$I$14,MATCH(F$5,Зміни!$C$12:$I$12,0))</f>
        <v>8</v>
      </c>
      <c r="G8" s="36" t="n">
        <f aca="false">INDEX(Зміни!$C$14:$I$14,MATCH(G$5,Зміни!$C$12:$I$12,0))</f>
        <v>8</v>
      </c>
      <c r="H8" s="36" t="n">
        <f aca="false">INDEX(Зміни!$C$14:$I$14,MATCH(H$5,Зміни!$C$12:$I$12,0))</f>
        <v>8</v>
      </c>
      <c r="I8" s="36" t="n">
        <f aca="false">INDEX(Зміни!$C$14:$I$14,MATCH(I$5,Зміни!$C$12:$I$12,0))</f>
        <v>8</v>
      </c>
      <c r="J8" s="36" t="n">
        <f aca="false">INDEX(Зміни!$C$14:$I$14,MATCH(J$5,Зміни!$C$12:$I$12,0))</f>
        <v>8</v>
      </c>
      <c r="K8" s="36" t="n">
        <f aca="false">INDEX(Зміни!$C$14:$I$14,MATCH(K$5,Зміни!$C$12:$I$12,0))</f>
        <v>8</v>
      </c>
      <c r="L8" s="36" t="n">
        <f aca="false">INDEX(Зміни!$C$14:$I$14,MATCH(L$5,Зміни!$C$12:$I$12,0))</f>
        <v>8</v>
      </c>
      <c r="M8" s="36" t="n">
        <f aca="false">INDEX(Зміни!$C$14:$I$14,MATCH(M$5,Зміни!$C$12:$I$12,0))</f>
        <v>8</v>
      </c>
      <c r="N8" s="36" t="n">
        <f aca="false">INDEX(Зміни!$C$14:$I$14,MATCH(N$5,Зміни!$C$12:$I$12,0))</f>
        <v>8</v>
      </c>
      <c r="O8" s="36" t="n">
        <f aca="false">INDEX(Зміни!$C$14:$I$14,MATCH(O$5,Зміни!$C$12:$I$12,0))</f>
        <v>8</v>
      </c>
      <c r="P8" s="36" t="n">
        <f aca="false">INDEX(Зміни!$C$14:$I$14,MATCH(P$5,Зміни!$C$12:$I$12,0))</f>
        <v>8</v>
      </c>
      <c r="Q8" s="36" t="n">
        <f aca="false">INDEX(Зміни!$C$14:$I$14,MATCH(Q$5,Зміни!$C$12:$I$12,0))</f>
        <v>8</v>
      </c>
      <c r="R8" s="36" t="n">
        <f aca="false">INDEX(Зміни!$C$14:$I$14,MATCH(R$5,Зміни!$C$12:$I$12,0))</f>
        <v>8</v>
      </c>
      <c r="S8" s="36" t="n">
        <f aca="false">INDEX(Зміни!$C$14:$I$14,MATCH(S$5,Зміни!$C$12:$I$12,0))</f>
        <v>8</v>
      </c>
      <c r="T8" s="36" t="n">
        <f aca="false">INDEX(Зміни!$C$14:$I$14,MATCH(T$5,Зміни!$C$12:$I$12,0))</f>
        <v>8</v>
      </c>
      <c r="U8" s="36" t="n">
        <f aca="false">INDEX(Зміни!$C$14:$I$14,MATCH(U$5,Зміни!$C$12:$I$12,0))</f>
        <v>8</v>
      </c>
      <c r="V8" s="36" t="n">
        <f aca="false">INDEX(Зміни!$C$14:$I$14,MATCH(V$5,Зміни!$C$12:$I$12,0))</f>
        <v>8</v>
      </c>
      <c r="W8" s="36" t="n">
        <f aca="false">INDEX(Зміни!$C$14:$I$14,MATCH(W$5,Зміни!$C$12:$I$12,0))</f>
        <v>8</v>
      </c>
      <c r="X8" s="36" t="n">
        <f aca="false">INDEX(Зміни!$C$14:$I$14,MATCH(X$5,Зміни!$C$12:$I$12,0))</f>
        <v>8</v>
      </c>
      <c r="Y8" s="36" t="n">
        <f aca="false">INDEX(Зміни!$C$14:$I$14,MATCH(Y$5,Зміни!$C$12:$I$12,0))</f>
        <v>8</v>
      </c>
      <c r="Z8" s="36" t="n">
        <f aca="false">INDEX(Зміни!$C$14:$I$14,MATCH(Z$5,Зміни!$C$12:$I$12,0))</f>
        <v>8</v>
      </c>
      <c r="AA8" s="36" t="n">
        <f aca="false">INDEX(Зміни!$C$14:$I$14,MATCH(AA$5,Зміни!$C$12:$I$12,0))</f>
        <v>8</v>
      </c>
      <c r="AB8" s="36" t="n">
        <f aca="false">INDEX(Зміни!$C$14:$I$14,MATCH(AB$5,Зміни!$C$12:$I$12,0))</f>
        <v>8</v>
      </c>
      <c r="AC8" s="36" t="n">
        <f aca="false">INDEX(Зміни!$C$14:$I$14,MATCH(AC$5,Зміни!$C$12:$I$12,0))</f>
        <v>8</v>
      </c>
      <c r="AD8" s="36" t="n">
        <f aca="false">INDEX(Зміни!$C$14:$I$14,MATCH(AD$5,Зміни!$C$12:$I$12,0))</f>
        <v>8</v>
      </c>
      <c r="AE8" s="36" t="n">
        <f aca="false">INDEX(Зміни!$C$14:$I$14,MATCH(AE$5,Зміни!$C$12:$I$12,0))</f>
        <v>8</v>
      </c>
      <c r="AF8" s="36" t="n">
        <f aca="false">INDEX(Зміни!$C$14:$I$14,MATCH(AF$5,Зміни!$C$12:$I$12,0))</f>
        <v>8</v>
      </c>
      <c r="AG8" s="36" t="n">
        <f aca="false">INDEX(Зміни!$C$14:$I$14,MATCH(AG$5,Зміни!$C$12:$I$12,0))</f>
        <v>8</v>
      </c>
      <c r="AH8" s="36" t="n">
        <f aca="false">INDEX(Зміни!$C$14:$I$14,MATCH(AH$5,Зміни!$C$12:$I$12,0))</f>
        <v>8</v>
      </c>
    </row>
    <row r="9" customFormat="false" ht="15" hidden="true" customHeight="false" outlineLevel="1" collapsed="false">
      <c r="C9" s="35" t="s">
        <v>134</v>
      </c>
      <c r="D9" s="36" t="n">
        <f aca="false">INDEX(Зміни!$C$15:$I$15,MATCH(D$5,Зміни!$C$12:$I$12,0))</f>
        <v>7.5</v>
      </c>
      <c r="E9" s="36" t="n">
        <f aca="false">INDEX(Зміни!$C$15:$I$15,MATCH(E$5,Зміни!$C$12:$I$12,0))</f>
        <v>7.5</v>
      </c>
      <c r="F9" s="36" t="n">
        <f aca="false">INDEX(Зміни!$C$15:$I$15,MATCH(F$5,Зміни!$C$12:$I$12,0))</f>
        <v>7.5</v>
      </c>
      <c r="G9" s="36" t="n">
        <f aca="false">INDEX(Зміни!$C$15:$I$15,MATCH(G$5,Зміни!$C$12:$I$12,0))</f>
        <v>7</v>
      </c>
      <c r="H9" s="36" t="n">
        <f aca="false">INDEX(Зміни!$C$15:$I$15,MATCH(H$5,Зміни!$C$12:$I$12,0))</f>
        <v>7.5</v>
      </c>
      <c r="I9" s="36" t="n">
        <f aca="false">INDEX(Зміни!$C$15:$I$15,MATCH(I$5,Зміни!$C$12:$I$12,0))</f>
        <v>7.5</v>
      </c>
      <c r="J9" s="36" t="n">
        <f aca="false">INDEX(Зміни!$C$15:$I$15,MATCH(J$5,Зміни!$C$12:$I$12,0))</f>
        <v>7.5</v>
      </c>
      <c r="K9" s="36" t="n">
        <f aca="false">INDEX(Зміни!$C$15:$I$15,MATCH(K$5,Зміни!$C$12:$I$12,0))</f>
        <v>7.5</v>
      </c>
      <c r="L9" s="36" t="n">
        <f aca="false">INDEX(Зміни!$C$15:$I$15,MATCH(L$5,Зміни!$C$12:$I$12,0))</f>
        <v>7.5</v>
      </c>
      <c r="M9" s="36" t="n">
        <f aca="false">INDEX(Зміни!$C$15:$I$15,MATCH(M$5,Зміни!$C$12:$I$12,0))</f>
        <v>7.5</v>
      </c>
      <c r="N9" s="36" t="n">
        <f aca="false">INDEX(Зміни!$C$15:$I$15,MATCH(N$5,Зміни!$C$12:$I$12,0))</f>
        <v>7</v>
      </c>
      <c r="O9" s="36" t="n">
        <f aca="false">INDEX(Зміни!$C$15:$I$15,MATCH(O$5,Зміни!$C$12:$I$12,0))</f>
        <v>7.5</v>
      </c>
      <c r="P9" s="36" t="n">
        <f aca="false">INDEX(Зміни!$C$15:$I$15,MATCH(P$5,Зміни!$C$12:$I$12,0))</f>
        <v>7.5</v>
      </c>
      <c r="Q9" s="36" t="n">
        <f aca="false">INDEX(Зміни!$C$15:$I$15,MATCH(Q$5,Зміни!$C$12:$I$12,0))</f>
        <v>7.5</v>
      </c>
      <c r="R9" s="36" t="n">
        <f aca="false">INDEX(Зміни!$C$15:$I$15,MATCH(R$5,Зміни!$C$12:$I$12,0))</f>
        <v>7.5</v>
      </c>
      <c r="S9" s="36" t="n">
        <f aca="false">INDEX(Зміни!$C$15:$I$15,MATCH(S$5,Зміни!$C$12:$I$12,0))</f>
        <v>7.5</v>
      </c>
      <c r="T9" s="36" t="n">
        <f aca="false">INDEX(Зміни!$C$15:$I$15,MATCH(T$5,Зміни!$C$12:$I$12,0))</f>
        <v>7.5</v>
      </c>
      <c r="U9" s="36" t="n">
        <f aca="false">INDEX(Зміни!$C$15:$I$15,MATCH(U$5,Зміни!$C$12:$I$12,0))</f>
        <v>7</v>
      </c>
      <c r="V9" s="36" t="n">
        <f aca="false">INDEX(Зміни!$C$15:$I$15,MATCH(V$5,Зміни!$C$12:$I$12,0))</f>
        <v>7.5</v>
      </c>
      <c r="W9" s="36" t="n">
        <f aca="false">INDEX(Зміни!$C$15:$I$15,MATCH(W$5,Зміни!$C$12:$I$12,0))</f>
        <v>7.5</v>
      </c>
      <c r="X9" s="36" t="n">
        <f aca="false">INDEX(Зміни!$C$15:$I$15,MATCH(X$5,Зміни!$C$12:$I$12,0))</f>
        <v>7.5</v>
      </c>
      <c r="Y9" s="36" t="n">
        <f aca="false">INDEX(Зміни!$C$15:$I$15,MATCH(Y$5,Зміни!$C$12:$I$12,0))</f>
        <v>7.5</v>
      </c>
      <c r="Z9" s="36" t="n">
        <f aca="false">INDEX(Зміни!$C$15:$I$15,MATCH(Z$5,Зміни!$C$12:$I$12,0))</f>
        <v>7.5</v>
      </c>
      <c r="AA9" s="36" t="n">
        <f aca="false">INDEX(Зміни!$C$15:$I$15,MATCH(AA$5,Зміни!$C$12:$I$12,0))</f>
        <v>7.5</v>
      </c>
      <c r="AB9" s="36" t="n">
        <f aca="false">INDEX(Зміни!$C$15:$I$15,MATCH(AB$5,Зміни!$C$12:$I$12,0))</f>
        <v>7</v>
      </c>
      <c r="AC9" s="36" t="n">
        <f aca="false">INDEX(Зміни!$C$15:$I$15,MATCH(AC$5,Зміни!$C$12:$I$12,0))</f>
        <v>7.5</v>
      </c>
      <c r="AD9" s="36" t="n">
        <f aca="false">INDEX(Зміни!$C$15:$I$15,MATCH(AD$5,Зміни!$C$12:$I$12,0))</f>
        <v>7.5</v>
      </c>
      <c r="AE9" s="36" t="n">
        <f aca="false">INDEX(Зміни!$C$15:$I$15,MATCH(AE$5,Зміни!$C$12:$I$12,0))</f>
        <v>7.5</v>
      </c>
      <c r="AF9" s="36" t="n">
        <f aca="false">INDEX(Зміни!$C$15:$I$15,MATCH(AF$5,Зміни!$C$12:$I$12,0))</f>
        <v>7.5</v>
      </c>
      <c r="AG9" s="36" t="n">
        <f aca="false">INDEX(Зміни!$C$15:$I$15,MATCH(AG$5,Зміни!$C$12:$I$12,0))</f>
        <v>7.5</v>
      </c>
      <c r="AH9" s="36" t="n">
        <f aca="false">INDEX(Зміни!$C$15:$I$15,MATCH(AH$5,Зміни!$C$12:$I$12,0))</f>
        <v>7.5</v>
      </c>
    </row>
    <row r="10" customFormat="false" ht="15" hidden="true" customHeight="false" outlineLevel="1" collapsed="false">
      <c r="C10" s="35" t="s">
        <v>135</v>
      </c>
      <c r="D10" s="36" t="n">
        <f aca="false">INDEX(Зміни!$C$16:$I$16,MATCH(D$5,Зміни!$C$12:$I$12,0))</f>
        <v>6</v>
      </c>
      <c r="E10" s="36" t="n">
        <f aca="false">INDEX(Зміни!$C$16:$I$16,MATCH(E$5,Зміни!$C$12:$I$12,0))</f>
        <v>6</v>
      </c>
      <c r="F10" s="36" t="n">
        <f aca="false">INDEX(Зміни!$C$16:$I$16,MATCH(F$5,Зміни!$C$12:$I$12,0))</f>
        <v>6</v>
      </c>
      <c r="G10" s="36" t="n">
        <f aca="false">INDEX(Зміни!$C$16:$I$16,MATCH(G$5,Зміни!$C$12:$I$12,0))</f>
        <v>6</v>
      </c>
      <c r="H10" s="36" t="n">
        <f aca="false">INDEX(Зміни!$C$16:$I$16,MATCH(H$5,Зміни!$C$12:$I$12,0))</f>
        <v>6</v>
      </c>
      <c r="I10" s="36" t="n">
        <f aca="false">INDEX(Зміни!$C$16:$I$16,MATCH(I$5,Зміни!$C$12:$I$12,0))</f>
        <v>6</v>
      </c>
      <c r="J10" s="36" t="n">
        <f aca="false">INDEX(Зміни!$C$16:$I$16,MATCH(J$5,Зміни!$C$12:$I$12,0))</f>
        <v>6</v>
      </c>
      <c r="K10" s="36" t="n">
        <f aca="false">INDEX(Зміни!$C$16:$I$16,MATCH(K$5,Зміни!$C$12:$I$12,0))</f>
        <v>6</v>
      </c>
      <c r="L10" s="36" t="n">
        <f aca="false">INDEX(Зміни!$C$16:$I$16,MATCH(L$5,Зміни!$C$12:$I$12,0))</f>
        <v>6</v>
      </c>
      <c r="M10" s="36" t="n">
        <f aca="false">INDEX(Зміни!$C$16:$I$16,MATCH(M$5,Зміни!$C$12:$I$12,0))</f>
        <v>6</v>
      </c>
      <c r="N10" s="36" t="n">
        <f aca="false">INDEX(Зміни!$C$16:$I$16,MATCH(N$5,Зміни!$C$12:$I$12,0))</f>
        <v>6</v>
      </c>
      <c r="O10" s="36" t="n">
        <f aca="false">INDEX(Зміни!$C$16:$I$16,MATCH(O$5,Зміни!$C$12:$I$12,0))</f>
        <v>6</v>
      </c>
      <c r="P10" s="36" t="n">
        <f aca="false">INDEX(Зміни!$C$16:$I$16,MATCH(P$5,Зміни!$C$12:$I$12,0))</f>
        <v>6</v>
      </c>
      <c r="Q10" s="36" t="n">
        <f aca="false">INDEX(Зміни!$C$16:$I$16,MATCH(Q$5,Зміни!$C$12:$I$12,0))</f>
        <v>6</v>
      </c>
      <c r="R10" s="36" t="n">
        <f aca="false">INDEX(Зміни!$C$16:$I$16,MATCH(R$5,Зміни!$C$12:$I$12,0))</f>
        <v>6</v>
      </c>
      <c r="S10" s="36" t="n">
        <f aca="false">INDEX(Зміни!$C$16:$I$16,MATCH(S$5,Зміни!$C$12:$I$12,0))</f>
        <v>6</v>
      </c>
      <c r="T10" s="36" t="n">
        <f aca="false">INDEX(Зміни!$C$16:$I$16,MATCH(T$5,Зміни!$C$12:$I$12,0))</f>
        <v>6</v>
      </c>
      <c r="U10" s="36" t="n">
        <f aca="false">INDEX(Зміни!$C$16:$I$16,MATCH(U$5,Зміни!$C$12:$I$12,0))</f>
        <v>6</v>
      </c>
      <c r="V10" s="36" t="n">
        <f aca="false">INDEX(Зміни!$C$16:$I$16,MATCH(V$5,Зміни!$C$12:$I$12,0))</f>
        <v>6</v>
      </c>
      <c r="W10" s="36" t="n">
        <f aca="false">INDEX(Зміни!$C$16:$I$16,MATCH(W$5,Зміни!$C$12:$I$12,0))</f>
        <v>6</v>
      </c>
      <c r="X10" s="36" t="n">
        <f aca="false">INDEX(Зміни!$C$16:$I$16,MATCH(X$5,Зміни!$C$12:$I$12,0))</f>
        <v>6</v>
      </c>
      <c r="Y10" s="36" t="n">
        <f aca="false">INDEX(Зміни!$C$16:$I$16,MATCH(Y$5,Зміни!$C$12:$I$12,0))</f>
        <v>6</v>
      </c>
      <c r="Z10" s="36" t="n">
        <f aca="false">INDEX(Зміни!$C$16:$I$16,MATCH(Z$5,Зміни!$C$12:$I$12,0))</f>
        <v>6</v>
      </c>
      <c r="AA10" s="36" t="n">
        <f aca="false">INDEX(Зміни!$C$16:$I$16,MATCH(AA$5,Зміни!$C$12:$I$12,0))</f>
        <v>6</v>
      </c>
      <c r="AB10" s="36" t="n">
        <f aca="false">INDEX(Зміни!$C$16:$I$16,MATCH(AB$5,Зміни!$C$12:$I$12,0))</f>
        <v>6</v>
      </c>
      <c r="AC10" s="36" t="n">
        <f aca="false">INDEX(Зміни!$C$16:$I$16,MATCH(AC$5,Зміни!$C$12:$I$12,0))</f>
        <v>6</v>
      </c>
      <c r="AD10" s="36" t="n">
        <f aca="false">INDEX(Зміни!$C$16:$I$16,MATCH(AD$5,Зміни!$C$12:$I$12,0))</f>
        <v>6</v>
      </c>
      <c r="AE10" s="36" t="n">
        <f aca="false">INDEX(Зміни!$C$16:$I$16,MATCH(AE$5,Зміни!$C$12:$I$12,0))</f>
        <v>6</v>
      </c>
      <c r="AF10" s="36" t="n">
        <f aca="false">INDEX(Зміни!$C$16:$I$16,MATCH(AF$5,Зміни!$C$12:$I$12,0))</f>
        <v>6</v>
      </c>
      <c r="AG10" s="36" t="n">
        <f aca="false">INDEX(Зміни!$C$16:$I$16,MATCH(AG$5,Зміни!$C$12:$I$12,0))</f>
        <v>6</v>
      </c>
      <c r="AH10" s="36" t="n">
        <f aca="false">INDEX(Зміни!$C$16:$I$16,MATCH(AH$5,Зміни!$C$12:$I$12,0))</f>
        <v>6</v>
      </c>
    </row>
    <row r="12" customFormat="false" ht="15" hidden="false" customHeight="false" outlineLevel="0" collapsed="false">
      <c r="A12" s="21" t="s">
        <v>136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</row>
    <row r="13" customFormat="false" ht="15" hidden="false" customHeight="false" outlineLevel="0" collapsed="false">
      <c r="A13" s="8" t="n">
        <v>1</v>
      </c>
      <c r="B13" s="7" t="s">
        <v>92</v>
      </c>
      <c r="C13" s="37" t="s">
        <v>137</v>
      </c>
      <c r="D13" s="38"/>
      <c r="E13" s="38" t="s">
        <v>41</v>
      </c>
      <c r="F13" s="38" t="s">
        <v>41</v>
      </c>
      <c r="G13" s="38" t="s">
        <v>41</v>
      </c>
      <c r="H13" s="38" t="s">
        <v>49</v>
      </c>
      <c r="I13" s="38" t="s">
        <v>49</v>
      </c>
      <c r="J13" s="38"/>
      <c r="K13" s="38" t="s">
        <v>41</v>
      </c>
      <c r="L13" s="38" t="s">
        <v>41</v>
      </c>
      <c r="M13" s="38" t="s">
        <v>41</v>
      </c>
      <c r="N13" s="38" t="s">
        <v>41</v>
      </c>
      <c r="O13" s="38"/>
      <c r="P13" s="38"/>
      <c r="Q13" s="38" t="s">
        <v>41</v>
      </c>
      <c r="R13" s="38" t="s">
        <v>41</v>
      </c>
      <c r="S13" s="38" t="s">
        <v>41</v>
      </c>
      <c r="T13" s="38"/>
      <c r="U13" s="38"/>
      <c r="V13" s="38" t="s">
        <v>41</v>
      </c>
      <c r="W13" s="38" t="s">
        <v>41</v>
      </c>
      <c r="X13" s="38" t="s">
        <v>41</v>
      </c>
      <c r="Y13" s="38" t="s">
        <v>41</v>
      </c>
      <c r="Z13" s="38"/>
      <c r="AA13" s="38"/>
      <c r="AB13" s="38" t="s">
        <v>49</v>
      </c>
      <c r="AC13" s="38" t="s">
        <v>49</v>
      </c>
      <c r="AD13" s="38" t="s">
        <v>49</v>
      </c>
      <c r="AE13" s="38" t="s">
        <v>49</v>
      </c>
      <c r="AF13" s="38"/>
      <c r="AG13" s="38"/>
      <c r="AH13" s="38" t="s">
        <v>41</v>
      </c>
      <c r="AI13" s="8" t="n">
        <f aca="false">COUNTA(D13:AH13)</f>
        <v>21</v>
      </c>
      <c r="AJ13" s="39" t="n">
        <f aca="false">SUMPRODUCT((D13:AH13="Р")*$D$7:$AH$7)+SUMPRODUCT((D13:AH13="С")*$D$8:$AH$8)+SUMPRODUCT((D13:AH13="В")*$D$9:$AH$9)+SUMPRODUCT((D13:AH13="П")*$D$10:$AH$10)</f>
        <v>157</v>
      </c>
      <c r="AK13" s="8" t="n">
        <f aca="false">COLUMNS(D13:AH13)-AI13</f>
        <v>10</v>
      </c>
      <c r="AL13" s="8" t="n">
        <f aca="false">SUMPRODUCT((D13:AH13&lt;&gt;"")*(($D$5:$AH$5="Пт")+($D$5:$AH$5="Сб")))</f>
        <v>6</v>
      </c>
      <c r="AM13" s="26" t="n">
        <f aca="false">AJ13-Зміни!$C$19</f>
        <v>-19</v>
      </c>
    </row>
    <row r="14" customFormat="false" ht="15" hidden="false" customHeight="false" outlineLevel="0" collapsed="false">
      <c r="A14" s="8" t="n">
        <v>2</v>
      </c>
      <c r="B14" s="7" t="s">
        <v>92</v>
      </c>
      <c r="C14" s="37" t="s">
        <v>138</v>
      </c>
      <c r="D14" s="38" t="s">
        <v>41</v>
      </c>
      <c r="E14" s="38"/>
      <c r="F14" s="38"/>
      <c r="G14" s="38"/>
      <c r="H14" s="38" t="s">
        <v>41</v>
      </c>
      <c r="I14" s="38" t="s">
        <v>41</v>
      </c>
      <c r="J14" s="38" t="s">
        <v>41</v>
      </c>
      <c r="K14" s="38"/>
      <c r="L14" s="38"/>
      <c r="M14" s="38" t="s">
        <v>49</v>
      </c>
      <c r="N14" s="38" t="s">
        <v>49</v>
      </c>
      <c r="O14" s="38" t="s">
        <v>49</v>
      </c>
      <c r="P14" s="38" t="s">
        <v>49</v>
      </c>
      <c r="Q14" s="38"/>
      <c r="R14" s="38" t="s">
        <v>49</v>
      </c>
      <c r="S14" s="38" t="s">
        <v>49</v>
      </c>
      <c r="T14" s="38" t="s">
        <v>49</v>
      </c>
      <c r="U14" s="38" t="s">
        <v>49</v>
      </c>
      <c r="V14" s="38"/>
      <c r="W14" s="38"/>
      <c r="X14" s="38" t="s">
        <v>49</v>
      </c>
      <c r="Y14" s="38" t="s">
        <v>49</v>
      </c>
      <c r="Z14" s="38" t="s">
        <v>49</v>
      </c>
      <c r="AA14" s="38" t="s">
        <v>49</v>
      </c>
      <c r="AB14" s="38"/>
      <c r="AC14" s="38"/>
      <c r="AD14" s="38" t="s">
        <v>41</v>
      </c>
      <c r="AE14" s="38" t="s">
        <v>41</v>
      </c>
      <c r="AF14" s="38" t="s">
        <v>49</v>
      </c>
      <c r="AG14" s="38" t="s">
        <v>49</v>
      </c>
      <c r="AH14" s="38" t="s">
        <v>49</v>
      </c>
      <c r="AI14" s="8" t="n">
        <f aca="false">COUNTA(D14:AH14)</f>
        <v>21</v>
      </c>
      <c r="AJ14" s="39" t="n">
        <f aca="false">SUMPRODUCT((D14:AH14="Р")*$D$7:$AH$7)+SUMPRODUCT((D14:AH14="С")*$D$8:$AH$8)+SUMPRODUCT((D14:AH14="В")*$D$9:$AH$9)+SUMPRODUCT((D14:AH14="П")*$D$10:$AH$10)</f>
        <v>156.5</v>
      </c>
      <c r="AK14" s="8" t="n">
        <f aca="false">COLUMNS(D14:AH14)-AI14</f>
        <v>10</v>
      </c>
      <c r="AL14" s="8" t="n">
        <f aca="false">SUMPRODUCT((D14:AH14&lt;&gt;"")*(($D$5:$AH$5="Пт")+($D$5:$AH$5="Сб")))</f>
        <v>7</v>
      </c>
      <c r="AM14" s="26" t="n">
        <f aca="false">AJ14-Зміни!$C$19</f>
        <v>-19.5</v>
      </c>
    </row>
    <row r="15" customFormat="false" ht="15" hidden="false" customHeight="false" outlineLevel="0" collapsed="false">
      <c r="A15" s="8" t="n">
        <v>3</v>
      </c>
      <c r="B15" s="7" t="s">
        <v>92</v>
      </c>
      <c r="C15" s="37" t="s">
        <v>139</v>
      </c>
      <c r="D15" s="38" t="s">
        <v>49</v>
      </c>
      <c r="E15" s="38" t="s">
        <v>49</v>
      </c>
      <c r="F15" s="38" t="s">
        <v>49</v>
      </c>
      <c r="G15" s="38" t="s">
        <v>49</v>
      </c>
      <c r="H15" s="38"/>
      <c r="I15" s="38"/>
      <c r="J15" s="38" t="s">
        <v>49</v>
      </c>
      <c r="K15" s="38" t="s">
        <v>49</v>
      </c>
      <c r="L15" s="38" t="s">
        <v>49</v>
      </c>
      <c r="M15" s="38"/>
      <c r="N15" s="38"/>
      <c r="O15" s="38" t="s">
        <v>41</v>
      </c>
      <c r="P15" s="38" t="s">
        <v>41</v>
      </c>
      <c r="Q15" s="38" t="s">
        <v>49</v>
      </c>
      <c r="R15" s="38"/>
      <c r="S15" s="38"/>
      <c r="T15" s="38" t="s">
        <v>41</v>
      </c>
      <c r="U15" s="38" t="s">
        <v>41</v>
      </c>
      <c r="V15" s="38" t="s">
        <v>49</v>
      </c>
      <c r="W15" s="38" t="s">
        <v>49</v>
      </c>
      <c r="X15" s="38"/>
      <c r="Y15" s="38"/>
      <c r="Z15" s="38" t="s">
        <v>41</v>
      </c>
      <c r="AA15" s="38" t="s">
        <v>41</v>
      </c>
      <c r="AB15" s="38" t="s">
        <v>41</v>
      </c>
      <c r="AC15" s="38" t="s">
        <v>41</v>
      </c>
      <c r="AD15" s="38"/>
      <c r="AE15" s="38"/>
      <c r="AF15" s="38" t="s">
        <v>41</v>
      </c>
      <c r="AG15" s="38" t="s">
        <v>41</v>
      </c>
      <c r="AH15" s="38"/>
      <c r="AI15" s="8" t="n">
        <f aca="false">COUNTA(D15:AH15)</f>
        <v>20</v>
      </c>
      <c r="AJ15" s="39" t="n">
        <f aca="false">SUMPRODUCT((D15:AH15="Р")*$D$7:$AH$7)+SUMPRODUCT((D15:AH15="С")*$D$8:$AH$8)+SUMPRODUCT((D15:AH15="В")*$D$9:$AH$9)+SUMPRODUCT((D15:AH15="П")*$D$10:$AH$10)</f>
        <v>149.5</v>
      </c>
      <c r="AK15" s="8" t="n">
        <f aca="false">COLUMNS(D15:AH15)-AI15</f>
        <v>11</v>
      </c>
      <c r="AL15" s="8" t="n">
        <f aca="false">SUMPRODUCT((D15:AH15&lt;&gt;"")*(($D$5:$AH$5="Пт")+($D$5:$AH$5="Сб")))</f>
        <v>7</v>
      </c>
      <c r="AM15" s="26" t="n">
        <f aca="false">AJ15-Зміни!$C$19</f>
        <v>-26.5</v>
      </c>
    </row>
    <row r="16" customFormat="false" ht="15" hidden="false" customHeight="false" outlineLevel="0" collapsed="false">
      <c r="C16" s="35" t="s">
        <v>140</v>
      </c>
      <c r="D16" s="40" t="n">
        <f aca="false">COUNTIF(D$13:D$15,"Р")-INDEX(Норми!$C$12:$I$47,MATCH("Менеджер зміни|Р",Норми!$L$12:$L$47,0),MATCH(D$5,Норми!$C$11:$I$11,0))</f>
        <v>0</v>
      </c>
      <c r="E16" s="40" t="n">
        <f aca="false">COUNTIF(E$13:E$15,"Р")-INDEX(Норми!$C$12:$I$47,MATCH("Менеджер зміни|Р",Норми!$L$12:$L$47,0),MATCH(E$5,Норми!$C$11:$I$11,0))</f>
        <v>0</v>
      </c>
      <c r="F16" s="40" t="n">
        <f aca="false">COUNTIF(F$13:F$15,"Р")-INDEX(Норми!$C$12:$I$47,MATCH("Менеджер зміни|Р",Норми!$L$12:$L$47,0),MATCH(F$5,Норми!$C$11:$I$11,0))</f>
        <v>0</v>
      </c>
      <c r="G16" s="40" t="n">
        <f aca="false">COUNTIF(G$13:G$15,"Р")-INDEX(Норми!$C$12:$I$47,MATCH("Менеджер зміни|Р",Норми!$L$12:$L$47,0),MATCH(G$5,Норми!$C$11:$I$11,0))</f>
        <v>0</v>
      </c>
      <c r="H16" s="40" t="n">
        <f aca="false">COUNTIF(H$13:H$15,"Р")-INDEX(Норми!$C$12:$I$47,MATCH("Менеджер зміни|Р",Норми!$L$12:$L$47,0),MATCH(H$5,Норми!$C$11:$I$11,0))</f>
        <v>0</v>
      </c>
      <c r="I16" s="40" t="n">
        <f aca="false">COUNTIF(I$13:I$15,"Р")-INDEX(Норми!$C$12:$I$47,MATCH("Менеджер зміни|Р",Норми!$L$12:$L$47,0),MATCH(I$5,Норми!$C$11:$I$11,0))</f>
        <v>0</v>
      </c>
      <c r="J16" s="40" t="n">
        <f aca="false">COUNTIF(J$13:J$15,"Р")-INDEX(Норми!$C$12:$I$47,MATCH("Менеджер зміни|Р",Норми!$L$12:$L$47,0),MATCH(J$5,Норми!$C$11:$I$11,0))</f>
        <v>0</v>
      </c>
      <c r="K16" s="40" t="n">
        <f aca="false">COUNTIF(K$13:K$15,"Р")-INDEX(Норми!$C$12:$I$47,MATCH("Менеджер зміни|Р",Норми!$L$12:$L$47,0),MATCH(K$5,Норми!$C$11:$I$11,0))</f>
        <v>0</v>
      </c>
      <c r="L16" s="40" t="n">
        <f aca="false">COUNTIF(L$13:L$15,"Р")-INDEX(Норми!$C$12:$I$47,MATCH("Менеджер зміни|Р",Норми!$L$12:$L$47,0),MATCH(L$5,Норми!$C$11:$I$11,0))</f>
        <v>0</v>
      </c>
      <c r="M16" s="40" t="n">
        <f aca="false">COUNTIF(M$13:M$15,"Р")-INDEX(Норми!$C$12:$I$47,MATCH("Менеджер зміни|Р",Норми!$L$12:$L$47,0),MATCH(M$5,Норми!$C$11:$I$11,0))</f>
        <v>0</v>
      </c>
      <c r="N16" s="40" t="n">
        <f aca="false">COUNTIF(N$13:N$15,"Р")-INDEX(Норми!$C$12:$I$47,MATCH("Менеджер зміни|Р",Норми!$L$12:$L$47,0),MATCH(N$5,Норми!$C$11:$I$11,0))</f>
        <v>0</v>
      </c>
      <c r="O16" s="40" t="n">
        <f aca="false">COUNTIF(O$13:O$15,"Р")-INDEX(Норми!$C$12:$I$47,MATCH("Менеджер зміни|Р",Норми!$L$12:$L$47,0),MATCH(O$5,Норми!$C$11:$I$11,0))</f>
        <v>0</v>
      </c>
      <c r="P16" s="40" t="n">
        <f aca="false">COUNTIF(P$13:P$15,"Р")-INDEX(Норми!$C$12:$I$47,MATCH("Менеджер зміни|Р",Норми!$L$12:$L$47,0),MATCH(P$5,Норми!$C$11:$I$11,0))</f>
        <v>0</v>
      </c>
      <c r="Q16" s="40" t="n">
        <f aca="false">COUNTIF(Q$13:Q$15,"Р")-INDEX(Норми!$C$12:$I$47,MATCH("Менеджер зміни|Р",Норми!$L$12:$L$47,0),MATCH(Q$5,Норми!$C$11:$I$11,0))</f>
        <v>0</v>
      </c>
      <c r="R16" s="40" t="n">
        <f aca="false">COUNTIF(R$13:R$15,"Р")-INDEX(Норми!$C$12:$I$47,MATCH("Менеджер зміни|Р",Норми!$L$12:$L$47,0),MATCH(R$5,Норми!$C$11:$I$11,0))</f>
        <v>0</v>
      </c>
      <c r="S16" s="40" t="n">
        <f aca="false">COUNTIF(S$13:S$15,"Р")-INDEX(Норми!$C$12:$I$47,MATCH("Менеджер зміни|Р",Норми!$L$12:$L$47,0),MATCH(S$5,Норми!$C$11:$I$11,0))</f>
        <v>0</v>
      </c>
      <c r="T16" s="40" t="n">
        <f aca="false">COUNTIF(T$13:T$15,"Р")-INDEX(Норми!$C$12:$I$47,MATCH("Менеджер зміни|Р",Норми!$L$12:$L$47,0),MATCH(T$5,Норми!$C$11:$I$11,0))</f>
        <v>0</v>
      </c>
      <c r="U16" s="40" t="n">
        <f aca="false">COUNTIF(U$13:U$15,"Р")-INDEX(Норми!$C$12:$I$47,MATCH("Менеджер зміни|Р",Норми!$L$12:$L$47,0),MATCH(U$5,Норми!$C$11:$I$11,0))</f>
        <v>0</v>
      </c>
      <c r="V16" s="40" t="n">
        <f aca="false">COUNTIF(V$13:V$15,"Р")-INDEX(Норми!$C$12:$I$47,MATCH("Менеджер зміни|Р",Норми!$L$12:$L$47,0),MATCH(V$5,Норми!$C$11:$I$11,0))</f>
        <v>0</v>
      </c>
      <c r="W16" s="40" t="n">
        <f aca="false">COUNTIF(W$13:W$15,"Р")-INDEX(Норми!$C$12:$I$47,MATCH("Менеджер зміни|Р",Норми!$L$12:$L$47,0),MATCH(W$5,Норми!$C$11:$I$11,0))</f>
        <v>0</v>
      </c>
      <c r="X16" s="40" t="n">
        <f aca="false">COUNTIF(X$13:X$15,"Р")-INDEX(Норми!$C$12:$I$47,MATCH("Менеджер зміни|Р",Норми!$L$12:$L$47,0),MATCH(X$5,Норми!$C$11:$I$11,0))</f>
        <v>0</v>
      </c>
      <c r="Y16" s="40" t="n">
        <f aca="false">COUNTIF(Y$13:Y$15,"Р")-INDEX(Норми!$C$12:$I$47,MATCH("Менеджер зміни|Р",Норми!$L$12:$L$47,0),MATCH(Y$5,Норми!$C$11:$I$11,0))</f>
        <v>0</v>
      </c>
      <c r="Z16" s="40" t="n">
        <f aca="false">COUNTIF(Z$13:Z$15,"Р")-INDEX(Норми!$C$12:$I$47,MATCH("Менеджер зміни|Р",Норми!$L$12:$L$47,0),MATCH(Z$5,Норми!$C$11:$I$11,0))</f>
        <v>0</v>
      </c>
      <c r="AA16" s="40" t="n">
        <f aca="false">COUNTIF(AA$13:AA$15,"Р")-INDEX(Норми!$C$12:$I$47,MATCH("Менеджер зміни|Р",Норми!$L$12:$L$47,0),MATCH(AA$5,Норми!$C$11:$I$11,0))</f>
        <v>0</v>
      </c>
      <c r="AB16" s="40" t="n">
        <f aca="false">COUNTIF(AB$13:AB$15,"Р")-INDEX(Норми!$C$12:$I$47,MATCH("Менеджер зміни|Р",Норми!$L$12:$L$47,0),MATCH(AB$5,Норми!$C$11:$I$11,0))</f>
        <v>0</v>
      </c>
      <c r="AC16" s="40" t="n">
        <f aca="false">COUNTIF(AC$13:AC$15,"Р")-INDEX(Норми!$C$12:$I$47,MATCH("Менеджер зміни|Р",Норми!$L$12:$L$47,0),MATCH(AC$5,Норми!$C$11:$I$11,0))</f>
        <v>0</v>
      </c>
      <c r="AD16" s="40" t="n">
        <f aca="false">COUNTIF(AD$13:AD$15,"Р")-INDEX(Норми!$C$12:$I$47,MATCH("Менеджер зміни|Р",Норми!$L$12:$L$47,0),MATCH(AD$5,Норми!$C$11:$I$11,0))</f>
        <v>0</v>
      </c>
      <c r="AE16" s="40" t="n">
        <f aca="false">COUNTIF(AE$13:AE$15,"Р")-INDEX(Норми!$C$12:$I$47,MATCH("Менеджер зміни|Р",Норми!$L$12:$L$47,0),MATCH(AE$5,Норми!$C$11:$I$11,0))</f>
        <v>0</v>
      </c>
      <c r="AF16" s="40" t="n">
        <f aca="false">COUNTIF(AF$13:AF$15,"Р")-INDEX(Норми!$C$12:$I$47,MATCH("Менеджер зміни|Р",Норми!$L$12:$L$47,0),MATCH(AF$5,Норми!$C$11:$I$11,0))</f>
        <v>0</v>
      </c>
      <c r="AG16" s="40" t="n">
        <f aca="false">COUNTIF(AG$13:AG$15,"Р")-INDEX(Норми!$C$12:$I$47,MATCH("Менеджер зміни|Р",Норми!$L$12:$L$47,0),MATCH(AG$5,Норми!$C$11:$I$11,0))</f>
        <v>0</v>
      </c>
      <c r="AH16" s="40" t="n">
        <f aca="false">COUNTIF(AH$13:AH$15,"Р")-INDEX(Норми!$C$12:$I$47,MATCH("Менеджер зміни|Р",Норми!$L$12:$L$47,0),MATCH(AH$5,Норми!$C$11:$I$11,0))</f>
        <v>0</v>
      </c>
    </row>
    <row r="17" customFormat="false" ht="15" hidden="false" customHeight="false" outlineLevel="0" collapsed="false">
      <c r="C17" s="35" t="s">
        <v>141</v>
      </c>
      <c r="D17" s="40" t="n">
        <f aca="false">COUNTIF(D$13:D$15,"В")-INDEX(Норми!$C$12:$I$47,MATCH("Менеджер зміни|В",Норми!$L$12:$L$47,0),MATCH(D$5,Норми!$C$11:$I$11,0))</f>
        <v>0</v>
      </c>
      <c r="E17" s="40" t="n">
        <f aca="false">COUNTIF(E$13:E$15,"В")-INDEX(Норми!$C$12:$I$47,MATCH("Менеджер зміни|В",Норми!$L$12:$L$47,0),MATCH(E$5,Норми!$C$11:$I$11,0))</f>
        <v>0</v>
      </c>
      <c r="F17" s="40" t="n">
        <f aca="false">COUNTIF(F$13:F$15,"В")-INDEX(Норми!$C$12:$I$47,MATCH("Менеджер зміни|В",Норми!$L$12:$L$47,0),MATCH(F$5,Норми!$C$11:$I$11,0))</f>
        <v>0</v>
      </c>
      <c r="G17" s="40" t="n">
        <f aca="false">COUNTIF(G$13:G$15,"В")-INDEX(Норми!$C$12:$I$47,MATCH("Менеджер зміни|В",Норми!$L$12:$L$47,0),MATCH(G$5,Норми!$C$11:$I$11,0))</f>
        <v>0</v>
      </c>
      <c r="H17" s="40" t="n">
        <f aca="false">COUNTIF(H$13:H$15,"В")-INDEX(Норми!$C$12:$I$47,MATCH("Менеджер зміни|В",Норми!$L$12:$L$47,0),MATCH(H$5,Норми!$C$11:$I$11,0))</f>
        <v>0</v>
      </c>
      <c r="I17" s="40" t="n">
        <f aca="false">COUNTIF(I$13:I$15,"В")-INDEX(Норми!$C$12:$I$47,MATCH("Менеджер зміни|В",Норми!$L$12:$L$47,0),MATCH(I$5,Норми!$C$11:$I$11,0))</f>
        <v>0</v>
      </c>
      <c r="J17" s="40" t="n">
        <f aca="false">COUNTIF(J$13:J$15,"В")-INDEX(Норми!$C$12:$I$47,MATCH("Менеджер зміни|В",Норми!$L$12:$L$47,0),MATCH(J$5,Норми!$C$11:$I$11,0))</f>
        <v>0</v>
      </c>
      <c r="K17" s="40" t="n">
        <f aca="false">COUNTIF(K$13:K$15,"В")-INDEX(Норми!$C$12:$I$47,MATCH("Менеджер зміни|В",Норми!$L$12:$L$47,0),MATCH(K$5,Норми!$C$11:$I$11,0))</f>
        <v>0</v>
      </c>
      <c r="L17" s="40" t="n">
        <f aca="false">COUNTIF(L$13:L$15,"В")-INDEX(Норми!$C$12:$I$47,MATCH("Менеджер зміни|В",Норми!$L$12:$L$47,0),MATCH(L$5,Норми!$C$11:$I$11,0))</f>
        <v>0</v>
      </c>
      <c r="M17" s="40" t="n">
        <f aca="false">COUNTIF(M$13:M$15,"В")-INDEX(Норми!$C$12:$I$47,MATCH("Менеджер зміни|В",Норми!$L$12:$L$47,0),MATCH(M$5,Норми!$C$11:$I$11,0))</f>
        <v>0</v>
      </c>
      <c r="N17" s="40" t="n">
        <f aca="false">COUNTIF(N$13:N$15,"В")-INDEX(Норми!$C$12:$I$47,MATCH("Менеджер зміни|В",Норми!$L$12:$L$47,0),MATCH(N$5,Норми!$C$11:$I$11,0))</f>
        <v>0</v>
      </c>
      <c r="O17" s="40" t="n">
        <f aca="false">COUNTIF(O$13:O$15,"В")-INDEX(Норми!$C$12:$I$47,MATCH("Менеджер зміни|В",Норми!$L$12:$L$47,0),MATCH(O$5,Норми!$C$11:$I$11,0))</f>
        <v>0</v>
      </c>
      <c r="P17" s="40" t="n">
        <f aca="false">COUNTIF(P$13:P$15,"В")-INDEX(Норми!$C$12:$I$47,MATCH("Менеджер зміни|В",Норми!$L$12:$L$47,0),MATCH(P$5,Норми!$C$11:$I$11,0))</f>
        <v>0</v>
      </c>
      <c r="Q17" s="40" t="n">
        <f aca="false">COUNTIF(Q$13:Q$15,"В")-INDEX(Норми!$C$12:$I$47,MATCH("Менеджер зміни|В",Норми!$L$12:$L$47,0),MATCH(Q$5,Норми!$C$11:$I$11,0))</f>
        <v>0</v>
      </c>
      <c r="R17" s="40" t="n">
        <f aca="false">COUNTIF(R$13:R$15,"В")-INDEX(Норми!$C$12:$I$47,MATCH("Менеджер зміни|В",Норми!$L$12:$L$47,0),MATCH(R$5,Норми!$C$11:$I$11,0))</f>
        <v>0</v>
      </c>
      <c r="S17" s="40" t="n">
        <f aca="false">COUNTIF(S$13:S$15,"В")-INDEX(Норми!$C$12:$I$47,MATCH("Менеджер зміни|В",Норми!$L$12:$L$47,0),MATCH(S$5,Норми!$C$11:$I$11,0))</f>
        <v>0</v>
      </c>
      <c r="T17" s="40" t="n">
        <f aca="false">COUNTIF(T$13:T$15,"В")-INDEX(Норми!$C$12:$I$47,MATCH("Менеджер зміни|В",Норми!$L$12:$L$47,0),MATCH(T$5,Норми!$C$11:$I$11,0))</f>
        <v>0</v>
      </c>
      <c r="U17" s="40" t="n">
        <f aca="false">COUNTIF(U$13:U$15,"В")-INDEX(Норми!$C$12:$I$47,MATCH("Менеджер зміни|В",Норми!$L$12:$L$47,0),MATCH(U$5,Норми!$C$11:$I$11,0))</f>
        <v>0</v>
      </c>
      <c r="V17" s="40" t="n">
        <f aca="false">COUNTIF(V$13:V$15,"В")-INDEX(Норми!$C$12:$I$47,MATCH("Менеджер зміни|В",Норми!$L$12:$L$47,0),MATCH(V$5,Норми!$C$11:$I$11,0))</f>
        <v>0</v>
      </c>
      <c r="W17" s="40" t="n">
        <f aca="false">COUNTIF(W$13:W$15,"В")-INDEX(Норми!$C$12:$I$47,MATCH("Менеджер зміни|В",Норми!$L$12:$L$47,0),MATCH(W$5,Норми!$C$11:$I$11,0))</f>
        <v>0</v>
      </c>
      <c r="X17" s="40" t="n">
        <f aca="false">COUNTIF(X$13:X$15,"В")-INDEX(Норми!$C$12:$I$47,MATCH("Менеджер зміни|В",Норми!$L$12:$L$47,0),MATCH(X$5,Норми!$C$11:$I$11,0))</f>
        <v>0</v>
      </c>
      <c r="Y17" s="40" t="n">
        <f aca="false">COUNTIF(Y$13:Y$15,"В")-INDEX(Норми!$C$12:$I$47,MATCH("Менеджер зміни|В",Норми!$L$12:$L$47,0),MATCH(Y$5,Норми!$C$11:$I$11,0))</f>
        <v>0</v>
      </c>
      <c r="Z17" s="40" t="n">
        <f aca="false">COUNTIF(Z$13:Z$15,"В")-INDEX(Норми!$C$12:$I$47,MATCH("Менеджер зміни|В",Норми!$L$12:$L$47,0),MATCH(Z$5,Норми!$C$11:$I$11,0))</f>
        <v>0</v>
      </c>
      <c r="AA17" s="40" t="n">
        <f aca="false">COUNTIF(AA$13:AA$15,"В")-INDEX(Норми!$C$12:$I$47,MATCH("Менеджер зміни|В",Норми!$L$12:$L$47,0),MATCH(AA$5,Норми!$C$11:$I$11,0))</f>
        <v>0</v>
      </c>
      <c r="AB17" s="40" t="n">
        <f aca="false">COUNTIF(AB$13:AB$15,"В")-INDEX(Норми!$C$12:$I$47,MATCH("Менеджер зміни|В",Норми!$L$12:$L$47,0),MATCH(AB$5,Норми!$C$11:$I$11,0))</f>
        <v>0</v>
      </c>
      <c r="AC17" s="40" t="n">
        <f aca="false">COUNTIF(AC$13:AC$15,"В")-INDEX(Норми!$C$12:$I$47,MATCH("Менеджер зміни|В",Норми!$L$12:$L$47,0),MATCH(AC$5,Норми!$C$11:$I$11,0))</f>
        <v>0</v>
      </c>
      <c r="AD17" s="40" t="n">
        <f aca="false">COUNTIF(AD$13:AD$15,"В")-INDEX(Норми!$C$12:$I$47,MATCH("Менеджер зміни|В",Норми!$L$12:$L$47,0),MATCH(AD$5,Норми!$C$11:$I$11,0))</f>
        <v>0</v>
      </c>
      <c r="AE17" s="40" t="n">
        <f aca="false">COUNTIF(AE$13:AE$15,"В")-INDEX(Норми!$C$12:$I$47,MATCH("Менеджер зміни|В",Норми!$L$12:$L$47,0),MATCH(AE$5,Норми!$C$11:$I$11,0))</f>
        <v>0</v>
      </c>
      <c r="AF17" s="40" t="n">
        <f aca="false">COUNTIF(AF$13:AF$15,"В")-INDEX(Норми!$C$12:$I$47,MATCH("Менеджер зміни|В",Норми!$L$12:$L$47,0),MATCH(AF$5,Норми!$C$11:$I$11,0))</f>
        <v>0</v>
      </c>
      <c r="AG17" s="40" t="n">
        <f aca="false">COUNTIF(AG$13:AG$15,"В")-INDEX(Норми!$C$12:$I$47,MATCH("Менеджер зміни|В",Норми!$L$12:$L$47,0),MATCH(AG$5,Норми!$C$11:$I$11,0))</f>
        <v>0</v>
      </c>
      <c r="AH17" s="40" t="n">
        <f aca="false">COUNTIF(AH$13:AH$15,"В")-INDEX(Норми!$C$12:$I$47,MATCH("Менеджер зміни|В",Норми!$L$12:$L$47,0),MATCH(AH$5,Норми!$C$11:$I$11,0))</f>
        <v>0</v>
      </c>
    </row>
    <row r="19" customFormat="false" ht="15" hidden="false" customHeight="false" outlineLevel="0" collapsed="false">
      <c r="A19" s="21" t="s">
        <v>142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</row>
    <row r="20" customFormat="false" ht="15" hidden="false" customHeight="false" outlineLevel="0" collapsed="false">
      <c r="A20" s="8" t="n">
        <v>4</v>
      </c>
      <c r="B20" s="7" t="s">
        <v>93</v>
      </c>
      <c r="C20" s="37" t="s">
        <v>143</v>
      </c>
      <c r="D20" s="38"/>
      <c r="E20" s="38" t="s">
        <v>49</v>
      </c>
      <c r="F20" s="38" t="s">
        <v>49</v>
      </c>
      <c r="G20" s="38" t="s">
        <v>49</v>
      </c>
      <c r="H20" s="38" t="s">
        <v>49</v>
      </c>
      <c r="I20" s="38" t="s">
        <v>49</v>
      </c>
      <c r="J20" s="38"/>
      <c r="K20" s="38"/>
      <c r="L20" s="38"/>
      <c r="M20" s="38" t="s">
        <v>41</v>
      </c>
      <c r="N20" s="38" t="s">
        <v>41</v>
      </c>
      <c r="O20" s="38" t="s">
        <v>41</v>
      </c>
      <c r="P20" s="38" t="s">
        <v>41</v>
      </c>
      <c r="Q20" s="38" t="s">
        <v>41</v>
      </c>
      <c r="R20" s="38"/>
      <c r="S20" s="38"/>
      <c r="T20" s="38"/>
      <c r="U20" s="38" t="s">
        <v>45</v>
      </c>
      <c r="V20" s="38"/>
      <c r="W20" s="38"/>
      <c r="X20" s="38" t="s">
        <v>41</v>
      </c>
      <c r="Y20" s="38" t="s">
        <v>41</v>
      </c>
      <c r="Z20" s="38" t="s">
        <v>55</v>
      </c>
      <c r="AA20" s="38" t="s">
        <v>55</v>
      </c>
      <c r="AB20" s="38"/>
      <c r="AC20" s="38"/>
      <c r="AD20" s="38"/>
      <c r="AE20" s="38" t="s">
        <v>41</v>
      </c>
      <c r="AF20" s="38" t="s">
        <v>49</v>
      </c>
      <c r="AG20" s="38" t="s">
        <v>49</v>
      </c>
      <c r="AH20" s="38" t="s">
        <v>49</v>
      </c>
      <c r="AI20" s="8" t="n">
        <f aca="false">COUNTA(D20:AH20)</f>
        <v>19</v>
      </c>
      <c r="AJ20" s="39" t="n">
        <f aca="false">SUMPRODUCT((D20:AH20="Р")*$D$7:$AH$7)+SUMPRODUCT((D20:AH20="С")*$D$8:$AH$8)+SUMPRODUCT((D20:AH20="В")*$D$9:$AH$9)+SUMPRODUCT((D20:AH20="П")*$D$10:$AH$10)</f>
        <v>139.5</v>
      </c>
      <c r="AK20" s="8" t="n">
        <f aca="false">COLUMNS(D20:AH20)-AI20</f>
        <v>12</v>
      </c>
      <c r="AL20" s="8" t="n">
        <f aca="false">SUMPRODUCT((D20:AH20&lt;&gt;"")*(($D$5:$AH$5="Пт")+($D$5:$AH$5="Сб")))</f>
        <v>7</v>
      </c>
      <c r="AM20" s="26" t="n">
        <f aca="false">AJ20-Зміни!$C$19</f>
        <v>-36.5</v>
      </c>
    </row>
    <row r="21" customFormat="false" ht="15" hidden="false" customHeight="false" outlineLevel="0" collapsed="false">
      <c r="A21" s="8" t="n">
        <v>5</v>
      </c>
      <c r="B21" s="7" t="s">
        <v>93</v>
      </c>
      <c r="C21" s="37" t="s">
        <v>144</v>
      </c>
      <c r="D21" s="38" t="s">
        <v>49</v>
      </c>
      <c r="E21" s="38"/>
      <c r="F21" s="38" t="s">
        <v>41</v>
      </c>
      <c r="G21" s="38" t="s">
        <v>41</v>
      </c>
      <c r="H21" s="38"/>
      <c r="I21" s="38"/>
      <c r="J21" s="38" t="s">
        <v>49</v>
      </c>
      <c r="K21" s="38" t="s">
        <v>49</v>
      </c>
      <c r="L21" s="38" t="s">
        <v>55</v>
      </c>
      <c r="M21" s="38"/>
      <c r="N21" s="38"/>
      <c r="O21" s="38"/>
      <c r="P21" s="38"/>
      <c r="Q21" s="38" t="s">
        <v>49</v>
      </c>
      <c r="R21" s="38" t="s">
        <v>49</v>
      </c>
      <c r="S21" s="38" t="s">
        <v>55</v>
      </c>
      <c r="T21" s="38" t="s">
        <v>55</v>
      </c>
      <c r="U21" s="38"/>
      <c r="V21" s="38" t="s">
        <v>41</v>
      </c>
      <c r="W21" s="38" t="s">
        <v>41</v>
      </c>
      <c r="X21" s="38"/>
      <c r="Y21" s="38"/>
      <c r="Z21" s="38" t="s">
        <v>41</v>
      </c>
      <c r="AA21" s="38" t="s">
        <v>41</v>
      </c>
      <c r="AB21" s="38" t="s">
        <v>41</v>
      </c>
      <c r="AC21" s="38" t="s">
        <v>41</v>
      </c>
      <c r="AD21" s="38" t="s">
        <v>41</v>
      </c>
      <c r="AE21" s="38"/>
      <c r="AF21" s="38"/>
      <c r="AG21" s="38" t="s">
        <v>41</v>
      </c>
      <c r="AH21" s="38" t="s">
        <v>41</v>
      </c>
      <c r="AI21" s="8" t="n">
        <f aca="false">COUNTA(D21:AH21)</f>
        <v>19</v>
      </c>
      <c r="AJ21" s="39" t="n">
        <f aca="false">SUMPRODUCT((D21:AH21="Р")*$D$7:$AH$7)+SUMPRODUCT((D21:AH21="С")*$D$8:$AH$8)+SUMPRODUCT((D21:AH21="В")*$D$9:$AH$9)+SUMPRODUCT((D21:AH21="П")*$D$10:$AH$10)</f>
        <v>138</v>
      </c>
      <c r="AK21" s="8" t="n">
        <f aca="false">COLUMNS(D21:AH21)-AI21</f>
        <v>12</v>
      </c>
      <c r="AL21" s="8" t="n">
        <f aca="false">SUMPRODUCT((D21:AH21&lt;&gt;"")*(($D$5:$AH$5="Пт")+($D$5:$AH$5="Сб")))</f>
        <v>8</v>
      </c>
      <c r="AM21" s="26" t="n">
        <f aca="false">AJ21-Зміни!$C$19</f>
        <v>-38</v>
      </c>
    </row>
    <row r="22" customFormat="false" ht="15" hidden="false" customHeight="false" outlineLevel="0" collapsed="false">
      <c r="A22" s="8" t="n">
        <v>6</v>
      </c>
      <c r="B22" s="7" t="s">
        <v>93</v>
      </c>
      <c r="C22" s="37" t="s">
        <v>145</v>
      </c>
      <c r="D22" s="38"/>
      <c r="E22" s="38" t="s">
        <v>41</v>
      </c>
      <c r="F22" s="38"/>
      <c r="G22" s="38"/>
      <c r="H22" s="38" t="s">
        <v>41</v>
      </c>
      <c r="I22" s="38" t="s">
        <v>41</v>
      </c>
      <c r="J22" s="38" t="s">
        <v>41</v>
      </c>
      <c r="K22" s="38"/>
      <c r="L22" s="38" t="s">
        <v>49</v>
      </c>
      <c r="M22" s="38" t="s">
        <v>49</v>
      </c>
      <c r="N22" s="38" t="s">
        <v>49</v>
      </c>
      <c r="O22" s="38" t="s">
        <v>49</v>
      </c>
      <c r="P22" s="38" t="s">
        <v>49</v>
      </c>
      <c r="Q22" s="38"/>
      <c r="R22" s="38"/>
      <c r="S22" s="38" t="s">
        <v>49</v>
      </c>
      <c r="T22" s="38" t="s">
        <v>49</v>
      </c>
      <c r="U22" s="38" t="s">
        <v>49</v>
      </c>
      <c r="V22" s="38" t="s">
        <v>49</v>
      </c>
      <c r="W22" s="38"/>
      <c r="X22" s="38" t="s">
        <v>49</v>
      </c>
      <c r="Y22" s="38"/>
      <c r="Z22" s="38"/>
      <c r="AA22" s="38"/>
      <c r="AB22" s="38" t="s">
        <v>45</v>
      </c>
      <c r="AC22" s="38" t="s">
        <v>49</v>
      </c>
      <c r="AD22" s="38"/>
      <c r="AE22" s="38"/>
      <c r="AF22" s="38" t="s">
        <v>41</v>
      </c>
      <c r="AG22" s="38" t="s">
        <v>55</v>
      </c>
      <c r="AH22" s="38" t="s">
        <v>55</v>
      </c>
      <c r="AI22" s="8" t="n">
        <f aca="false">COUNTA(D22:AH22)</f>
        <v>19</v>
      </c>
      <c r="AJ22" s="39" t="n">
        <f aca="false">SUMPRODUCT((D22:AH22="Р")*$D$7:$AH$7)+SUMPRODUCT((D22:AH22="С")*$D$8:$AH$8)+SUMPRODUCT((D22:AH22="В")*$D$9:$AH$9)+SUMPRODUCT((D22:AH22="П")*$D$10:$AH$10)</f>
        <v>139</v>
      </c>
      <c r="AK22" s="8" t="n">
        <f aca="false">COLUMNS(D22:AH22)-AI22</f>
        <v>12</v>
      </c>
      <c r="AL22" s="8" t="n">
        <f aca="false">SUMPRODUCT((D22:AH22&lt;&gt;"")*(($D$5:$AH$5="Пт")+($D$5:$AH$5="Сб")))</f>
        <v>7</v>
      </c>
      <c r="AM22" s="26" t="n">
        <f aca="false">AJ22-Зміни!$C$19</f>
        <v>-37</v>
      </c>
    </row>
    <row r="23" customFormat="false" ht="15" hidden="false" customHeight="false" outlineLevel="0" collapsed="false">
      <c r="A23" s="8" t="n">
        <v>7</v>
      </c>
      <c r="B23" s="7" t="s">
        <v>93</v>
      </c>
      <c r="C23" s="37" t="s">
        <v>146</v>
      </c>
      <c r="D23" s="38" t="s">
        <v>41</v>
      </c>
      <c r="E23" s="38" t="s">
        <v>55</v>
      </c>
      <c r="F23" s="38" t="s">
        <v>55</v>
      </c>
      <c r="G23" s="38" t="s">
        <v>45</v>
      </c>
      <c r="H23" s="38"/>
      <c r="I23" s="38"/>
      <c r="J23" s="38"/>
      <c r="K23" s="38" t="s">
        <v>41</v>
      </c>
      <c r="L23" s="38" t="s">
        <v>41</v>
      </c>
      <c r="M23" s="38" t="s">
        <v>55</v>
      </c>
      <c r="N23" s="38" t="s">
        <v>45</v>
      </c>
      <c r="O23" s="38"/>
      <c r="P23" s="38"/>
      <c r="Q23" s="38"/>
      <c r="R23" s="38" t="s">
        <v>41</v>
      </c>
      <c r="S23" s="38" t="s">
        <v>41</v>
      </c>
      <c r="T23" s="38" t="s">
        <v>41</v>
      </c>
      <c r="U23" s="38" t="s">
        <v>41</v>
      </c>
      <c r="V23" s="38"/>
      <c r="W23" s="38" t="s">
        <v>49</v>
      </c>
      <c r="X23" s="38"/>
      <c r="Y23" s="38" t="s">
        <v>49</v>
      </c>
      <c r="Z23" s="38" t="s">
        <v>49</v>
      </c>
      <c r="AA23" s="38" t="s">
        <v>49</v>
      </c>
      <c r="AB23" s="38" t="s">
        <v>49</v>
      </c>
      <c r="AC23" s="38"/>
      <c r="AD23" s="38" t="s">
        <v>49</v>
      </c>
      <c r="AE23" s="38" t="s">
        <v>49</v>
      </c>
      <c r="AF23" s="38"/>
      <c r="AG23" s="38"/>
      <c r="AH23" s="38"/>
      <c r="AI23" s="8" t="n">
        <f aca="false">COUNTA(D23:AH23)</f>
        <v>19</v>
      </c>
      <c r="AJ23" s="39" t="n">
        <f aca="false">SUMPRODUCT((D23:AH23="Р")*$D$7:$AH$7)+SUMPRODUCT((D23:AH23="С")*$D$8:$AH$8)+SUMPRODUCT((D23:AH23="В")*$D$9:$AH$9)+SUMPRODUCT((D23:AH23="П")*$D$10:$AH$10)</f>
        <v>138.5</v>
      </c>
      <c r="AK23" s="8" t="n">
        <f aca="false">COLUMNS(D23:AH23)-AI23</f>
        <v>12</v>
      </c>
      <c r="AL23" s="8" t="n">
        <f aca="false">SUMPRODUCT((D23:AH23&lt;&gt;"")*(($D$5:$AH$5="Пт")+($D$5:$AH$5="Сб")))</f>
        <v>8</v>
      </c>
      <c r="AM23" s="26" t="n">
        <f aca="false">AJ23-Зміни!$C$19</f>
        <v>-37.5</v>
      </c>
    </row>
    <row r="24" customFormat="false" ht="15" hidden="false" customHeight="false" outlineLevel="0" collapsed="false">
      <c r="C24" s="35" t="s">
        <v>140</v>
      </c>
      <c r="D24" s="40" t="n">
        <f aca="false">COUNTIF(D$20:D$23,"Р")-INDEX(Норми!$C$12:$I$47,MATCH("Хостес|Р",Норми!$L$12:$L$47,0),MATCH(D$5,Норми!$C$11:$I$11,0))</f>
        <v>0</v>
      </c>
      <c r="E24" s="40" t="n">
        <f aca="false">COUNTIF(E$20:E$23,"Р")-INDEX(Норми!$C$12:$I$47,MATCH("Хостес|Р",Норми!$L$12:$L$47,0),MATCH(E$5,Норми!$C$11:$I$11,0))</f>
        <v>0</v>
      </c>
      <c r="F24" s="40" t="n">
        <f aca="false">COUNTIF(F$20:F$23,"Р")-INDEX(Норми!$C$12:$I$47,MATCH("Хостес|Р",Норми!$L$12:$L$47,0),MATCH(F$5,Норми!$C$11:$I$11,0))</f>
        <v>0</v>
      </c>
      <c r="G24" s="40" t="n">
        <f aca="false">COUNTIF(G$20:G$23,"Р")-INDEX(Норми!$C$12:$I$47,MATCH("Хостес|Р",Норми!$L$12:$L$47,0),MATCH(G$5,Норми!$C$11:$I$11,0))</f>
        <v>0</v>
      </c>
      <c r="H24" s="40" t="n">
        <f aca="false">COUNTIF(H$20:H$23,"Р")-INDEX(Норми!$C$12:$I$47,MATCH("Хостес|Р",Норми!$L$12:$L$47,0),MATCH(H$5,Норми!$C$11:$I$11,0))</f>
        <v>0</v>
      </c>
      <c r="I24" s="40" t="n">
        <f aca="false">COUNTIF(I$20:I$23,"Р")-INDEX(Норми!$C$12:$I$47,MATCH("Хостес|Р",Норми!$L$12:$L$47,0),MATCH(I$5,Норми!$C$11:$I$11,0))</f>
        <v>0</v>
      </c>
      <c r="J24" s="40" t="n">
        <f aca="false">COUNTIF(J$20:J$23,"Р")-INDEX(Норми!$C$12:$I$47,MATCH("Хостес|Р",Норми!$L$12:$L$47,0),MATCH(J$5,Норми!$C$11:$I$11,0))</f>
        <v>0</v>
      </c>
      <c r="K24" s="40" t="n">
        <f aca="false">COUNTIF(K$20:K$23,"Р")-INDEX(Норми!$C$12:$I$47,MATCH("Хостес|Р",Норми!$L$12:$L$47,0),MATCH(K$5,Норми!$C$11:$I$11,0))</f>
        <v>0</v>
      </c>
      <c r="L24" s="40" t="n">
        <f aca="false">COUNTIF(L$20:L$23,"Р")-INDEX(Норми!$C$12:$I$47,MATCH("Хостес|Р",Норми!$L$12:$L$47,0),MATCH(L$5,Норми!$C$11:$I$11,0))</f>
        <v>0</v>
      </c>
      <c r="M24" s="40" t="n">
        <f aca="false">COUNTIF(M$20:M$23,"Р")-INDEX(Норми!$C$12:$I$47,MATCH("Хостес|Р",Норми!$L$12:$L$47,0),MATCH(M$5,Норми!$C$11:$I$11,0))</f>
        <v>0</v>
      </c>
      <c r="N24" s="40" t="n">
        <f aca="false">COUNTIF(N$20:N$23,"Р")-INDEX(Норми!$C$12:$I$47,MATCH("Хостес|Р",Норми!$L$12:$L$47,0),MATCH(N$5,Норми!$C$11:$I$11,0))</f>
        <v>0</v>
      </c>
      <c r="O24" s="40" t="n">
        <f aca="false">COUNTIF(O$20:O$23,"Р")-INDEX(Норми!$C$12:$I$47,MATCH("Хостес|Р",Норми!$L$12:$L$47,0),MATCH(O$5,Норми!$C$11:$I$11,0))</f>
        <v>0</v>
      </c>
      <c r="P24" s="40" t="n">
        <f aca="false">COUNTIF(P$20:P$23,"Р")-INDEX(Норми!$C$12:$I$47,MATCH("Хостес|Р",Норми!$L$12:$L$47,0),MATCH(P$5,Норми!$C$11:$I$11,0))</f>
        <v>0</v>
      </c>
      <c r="Q24" s="40" t="n">
        <f aca="false">COUNTIF(Q$20:Q$23,"Р")-INDEX(Норми!$C$12:$I$47,MATCH("Хостес|Р",Норми!$L$12:$L$47,0),MATCH(Q$5,Норми!$C$11:$I$11,0))</f>
        <v>0</v>
      </c>
      <c r="R24" s="40" t="n">
        <f aca="false">COUNTIF(R$20:R$23,"Р")-INDEX(Норми!$C$12:$I$47,MATCH("Хостес|Р",Норми!$L$12:$L$47,0),MATCH(R$5,Норми!$C$11:$I$11,0))</f>
        <v>0</v>
      </c>
      <c r="S24" s="40" t="n">
        <f aca="false">COUNTIF(S$20:S$23,"Р")-INDEX(Норми!$C$12:$I$47,MATCH("Хостес|Р",Норми!$L$12:$L$47,0),MATCH(S$5,Норми!$C$11:$I$11,0))</f>
        <v>0</v>
      </c>
      <c r="T24" s="40" t="n">
        <f aca="false">COUNTIF(T$20:T$23,"Р")-INDEX(Норми!$C$12:$I$47,MATCH("Хостес|Р",Норми!$L$12:$L$47,0),MATCH(T$5,Норми!$C$11:$I$11,0))</f>
        <v>0</v>
      </c>
      <c r="U24" s="40" t="n">
        <f aca="false">COUNTIF(U$20:U$23,"Р")-INDEX(Норми!$C$12:$I$47,MATCH("Хостес|Р",Норми!$L$12:$L$47,0),MATCH(U$5,Норми!$C$11:$I$11,0))</f>
        <v>0</v>
      </c>
      <c r="V24" s="40" t="n">
        <f aca="false">COUNTIF(V$20:V$23,"Р")-INDEX(Норми!$C$12:$I$47,MATCH("Хостес|Р",Норми!$L$12:$L$47,0),MATCH(V$5,Норми!$C$11:$I$11,0))</f>
        <v>0</v>
      </c>
      <c r="W24" s="40" t="n">
        <f aca="false">COUNTIF(W$20:W$23,"Р")-INDEX(Норми!$C$12:$I$47,MATCH("Хостес|Р",Норми!$L$12:$L$47,0),MATCH(W$5,Норми!$C$11:$I$11,0))</f>
        <v>0</v>
      </c>
      <c r="X24" s="40" t="n">
        <f aca="false">COUNTIF(X$20:X$23,"Р")-INDEX(Норми!$C$12:$I$47,MATCH("Хостес|Р",Норми!$L$12:$L$47,0),MATCH(X$5,Норми!$C$11:$I$11,0))</f>
        <v>0</v>
      </c>
      <c r="Y24" s="40" t="n">
        <f aca="false">COUNTIF(Y$20:Y$23,"Р")-INDEX(Норми!$C$12:$I$47,MATCH("Хостес|Р",Норми!$L$12:$L$47,0),MATCH(Y$5,Норми!$C$11:$I$11,0))</f>
        <v>0</v>
      </c>
      <c r="Z24" s="40" t="n">
        <f aca="false">COUNTIF(Z$20:Z$23,"Р")-INDEX(Норми!$C$12:$I$47,MATCH("Хостес|Р",Норми!$L$12:$L$47,0),MATCH(Z$5,Норми!$C$11:$I$11,0))</f>
        <v>0</v>
      </c>
      <c r="AA24" s="40" t="n">
        <f aca="false">COUNTIF(AA$20:AA$23,"Р")-INDEX(Норми!$C$12:$I$47,MATCH("Хостес|Р",Норми!$L$12:$L$47,0),MATCH(AA$5,Норми!$C$11:$I$11,0))</f>
        <v>0</v>
      </c>
      <c r="AB24" s="40" t="n">
        <f aca="false">COUNTIF(AB$20:AB$23,"Р")-INDEX(Норми!$C$12:$I$47,MATCH("Хостес|Р",Норми!$L$12:$L$47,0),MATCH(AB$5,Норми!$C$11:$I$11,0))</f>
        <v>0</v>
      </c>
      <c r="AC24" s="40" t="n">
        <f aca="false">COUNTIF(AC$20:AC$23,"Р")-INDEX(Норми!$C$12:$I$47,MATCH("Хостес|Р",Норми!$L$12:$L$47,0),MATCH(AC$5,Норми!$C$11:$I$11,0))</f>
        <v>0</v>
      </c>
      <c r="AD24" s="40" t="n">
        <f aca="false">COUNTIF(AD$20:AD$23,"Р")-INDEX(Норми!$C$12:$I$47,MATCH("Хостес|Р",Норми!$L$12:$L$47,0),MATCH(AD$5,Норми!$C$11:$I$11,0))</f>
        <v>0</v>
      </c>
      <c r="AE24" s="40" t="n">
        <f aca="false">COUNTIF(AE$20:AE$23,"Р")-INDEX(Норми!$C$12:$I$47,MATCH("Хостес|Р",Норми!$L$12:$L$47,0),MATCH(AE$5,Норми!$C$11:$I$11,0))</f>
        <v>0</v>
      </c>
      <c r="AF24" s="40" t="n">
        <f aca="false">COUNTIF(AF$20:AF$23,"Р")-INDEX(Норми!$C$12:$I$47,MATCH("Хостес|Р",Норми!$L$12:$L$47,0),MATCH(AF$5,Норми!$C$11:$I$11,0))</f>
        <v>0</v>
      </c>
      <c r="AG24" s="40" t="n">
        <f aca="false">COUNTIF(AG$20:AG$23,"Р")-INDEX(Норми!$C$12:$I$47,MATCH("Хостес|Р",Норми!$L$12:$L$47,0),MATCH(AG$5,Норми!$C$11:$I$11,0))</f>
        <v>0</v>
      </c>
      <c r="AH24" s="40" t="n">
        <f aca="false">COUNTIF(AH$20:AH$23,"Р")-INDEX(Норми!$C$12:$I$47,MATCH("Хостес|Р",Норми!$L$12:$L$47,0),MATCH(AH$5,Норми!$C$11:$I$11,0))</f>
        <v>0</v>
      </c>
    </row>
    <row r="25" customFormat="false" ht="15" hidden="false" customHeight="false" outlineLevel="0" collapsed="false">
      <c r="C25" s="35" t="s">
        <v>147</v>
      </c>
      <c r="D25" s="40" t="n">
        <f aca="false">COUNTIF(D$20:D$23,"С")-INDEX(Норми!$C$12:$I$47,MATCH("Хостес|С",Норми!$L$12:$L$47,0),MATCH(D$5,Норми!$C$11:$I$11,0))</f>
        <v>0</v>
      </c>
      <c r="E25" s="40" t="n">
        <f aca="false">COUNTIF(E$20:E$23,"С")-INDEX(Норми!$C$12:$I$47,MATCH("Хостес|С",Норми!$L$12:$L$47,0),MATCH(E$5,Норми!$C$11:$I$11,0))</f>
        <v>0</v>
      </c>
      <c r="F25" s="40" t="n">
        <f aca="false">COUNTIF(F$20:F$23,"С")-INDEX(Норми!$C$12:$I$47,MATCH("Хостес|С",Норми!$L$12:$L$47,0),MATCH(F$5,Норми!$C$11:$I$11,0))</f>
        <v>0</v>
      </c>
      <c r="G25" s="40" t="n">
        <f aca="false">COUNTIF(G$20:G$23,"С")-INDEX(Норми!$C$12:$I$47,MATCH("Хостес|С",Норми!$L$12:$L$47,0),MATCH(G$5,Норми!$C$11:$I$11,0))</f>
        <v>0</v>
      </c>
      <c r="H25" s="40" t="n">
        <f aca="false">COUNTIF(H$20:H$23,"С")-INDEX(Норми!$C$12:$I$47,MATCH("Хостес|С",Норми!$L$12:$L$47,0),MATCH(H$5,Норми!$C$11:$I$11,0))</f>
        <v>0</v>
      </c>
      <c r="I25" s="40" t="n">
        <f aca="false">COUNTIF(I$20:I$23,"С")-INDEX(Норми!$C$12:$I$47,MATCH("Хостес|С",Норми!$L$12:$L$47,0),MATCH(I$5,Норми!$C$11:$I$11,0))</f>
        <v>0</v>
      </c>
      <c r="J25" s="40" t="n">
        <f aca="false">COUNTIF(J$20:J$23,"С")-INDEX(Норми!$C$12:$I$47,MATCH("Хостес|С",Норми!$L$12:$L$47,0),MATCH(J$5,Норми!$C$11:$I$11,0))</f>
        <v>0</v>
      </c>
      <c r="K25" s="40" t="n">
        <f aca="false">COUNTIF(K$20:K$23,"С")-INDEX(Норми!$C$12:$I$47,MATCH("Хостес|С",Норми!$L$12:$L$47,0),MATCH(K$5,Норми!$C$11:$I$11,0))</f>
        <v>0</v>
      </c>
      <c r="L25" s="40" t="n">
        <f aca="false">COUNTIF(L$20:L$23,"С")-INDEX(Норми!$C$12:$I$47,MATCH("Хостес|С",Норми!$L$12:$L$47,0),MATCH(L$5,Норми!$C$11:$I$11,0))</f>
        <v>0</v>
      </c>
      <c r="M25" s="40" t="n">
        <f aca="false">COUNTIF(M$20:M$23,"С")-INDEX(Норми!$C$12:$I$47,MATCH("Хостес|С",Норми!$L$12:$L$47,0),MATCH(M$5,Норми!$C$11:$I$11,0))</f>
        <v>0</v>
      </c>
      <c r="N25" s="40" t="n">
        <f aca="false">COUNTIF(N$20:N$23,"С")-INDEX(Норми!$C$12:$I$47,MATCH("Хостес|С",Норми!$L$12:$L$47,0),MATCH(N$5,Норми!$C$11:$I$11,0))</f>
        <v>0</v>
      </c>
      <c r="O25" s="40" t="n">
        <f aca="false">COUNTIF(O$20:O$23,"С")-INDEX(Норми!$C$12:$I$47,MATCH("Хостес|С",Норми!$L$12:$L$47,0),MATCH(O$5,Норми!$C$11:$I$11,0))</f>
        <v>0</v>
      </c>
      <c r="P25" s="40" t="n">
        <f aca="false">COUNTIF(P$20:P$23,"С")-INDEX(Норми!$C$12:$I$47,MATCH("Хостес|С",Норми!$L$12:$L$47,0),MATCH(P$5,Норми!$C$11:$I$11,0))</f>
        <v>0</v>
      </c>
      <c r="Q25" s="40" t="n">
        <f aca="false">COUNTIF(Q$20:Q$23,"С")-INDEX(Норми!$C$12:$I$47,MATCH("Хостес|С",Норми!$L$12:$L$47,0),MATCH(Q$5,Норми!$C$11:$I$11,0))</f>
        <v>0</v>
      </c>
      <c r="R25" s="40" t="n">
        <f aca="false">COUNTIF(R$20:R$23,"С")-INDEX(Норми!$C$12:$I$47,MATCH("Хостес|С",Норми!$L$12:$L$47,0),MATCH(R$5,Норми!$C$11:$I$11,0))</f>
        <v>0</v>
      </c>
      <c r="S25" s="40" t="n">
        <f aca="false">COUNTIF(S$20:S$23,"С")-INDEX(Норми!$C$12:$I$47,MATCH("Хостес|С",Норми!$L$12:$L$47,0),MATCH(S$5,Норми!$C$11:$I$11,0))</f>
        <v>0</v>
      </c>
      <c r="T25" s="40" t="n">
        <f aca="false">COUNTIF(T$20:T$23,"С")-INDEX(Норми!$C$12:$I$47,MATCH("Хостес|С",Норми!$L$12:$L$47,0),MATCH(T$5,Норми!$C$11:$I$11,0))</f>
        <v>0</v>
      </c>
      <c r="U25" s="40" t="n">
        <f aca="false">COUNTIF(U$20:U$23,"С")-INDEX(Норми!$C$12:$I$47,MATCH("Хостес|С",Норми!$L$12:$L$47,0),MATCH(U$5,Норми!$C$11:$I$11,0))</f>
        <v>0</v>
      </c>
      <c r="V25" s="40" t="n">
        <f aca="false">COUNTIF(V$20:V$23,"С")-INDEX(Норми!$C$12:$I$47,MATCH("Хостес|С",Норми!$L$12:$L$47,0),MATCH(V$5,Норми!$C$11:$I$11,0))</f>
        <v>0</v>
      </c>
      <c r="W25" s="40" t="n">
        <f aca="false">COUNTIF(W$20:W$23,"С")-INDEX(Норми!$C$12:$I$47,MATCH("Хостес|С",Норми!$L$12:$L$47,0),MATCH(W$5,Норми!$C$11:$I$11,0))</f>
        <v>0</v>
      </c>
      <c r="X25" s="40" t="n">
        <f aca="false">COUNTIF(X$20:X$23,"С")-INDEX(Норми!$C$12:$I$47,MATCH("Хостес|С",Норми!$L$12:$L$47,0),MATCH(X$5,Норми!$C$11:$I$11,0))</f>
        <v>0</v>
      </c>
      <c r="Y25" s="40" t="n">
        <f aca="false">COUNTIF(Y$20:Y$23,"С")-INDEX(Норми!$C$12:$I$47,MATCH("Хостес|С",Норми!$L$12:$L$47,0),MATCH(Y$5,Норми!$C$11:$I$11,0))</f>
        <v>0</v>
      </c>
      <c r="Z25" s="40" t="n">
        <f aca="false">COUNTIF(Z$20:Z$23,"С")-INDEX(Норми!$C$12:$I$47,MATCH("Хостес|С",Норми!$L$12:$L$47,0),MATCH(Z$5,Норми!$C$11:$I$11,0))</f>
        <v>0</v>
      </c>
      <c r="AA25" s="40" t="n">
        <f aca="false">COUNTIF(AA$20:AA$23,"С")-INDEX(Норми!$C$12:$I$47,MATCH("Хостес|С",Норми!$L$12:$L$47,0),MATCH(AA$5,Норми!$C$11:$I$11,0))</f>
        <v>0</v>
      </c>
      <c r="AB25" s="40" t="n">
        <f aca="false">COUNTIF(AB$20:AB$23,"С")-INDEX(Норми!$C$12:$I$47,MATCH("Хостес|С",Норми!$L$12:$L$47,0),MATCH(AB$5,Норми!$C$11:$I$11,0))</f>
        <v>0</v>
      </c>
      <c r="AC25" s="40" t="n">
        <f aca="false">COUNTIF(AC$20:AC$23,"С")-INDEX(Норми!$C$12:$I$47,MATCH("Хостес|С",Норми!$L$12:$L$47,0),MATCH(AC$5,Норми!$C$11:$I$11,0))</f>
        <v>0</v>
      </c>
      <c r="AD25" s="40" t="n">
        <f aca="false">COUNTIF(AD$20:AD$23,"С")-INDEX(Норми!$C$12:$I$47,MATCH("Хостес|С",Норми!$L$12:$L$47,0),MATCH(AD$5,Норми!$C$11:$I$11,0))</f>
        <v>0</v>
      </c>
      <c r="AE25" s="40" t="n">
        <f aca="false">COUNTIF(AE$20:AE$23,"С")-INDEX(Норми!$C$12:$I$47,MATCH("Хостес|С",Норми!$L$12:$L$47,0),MATCH(AE$5,Норми!$C$11:$I$11,0))</f>
        <v>0</v>
      </c>
      <c r="AF25" s="40" t="n">
        <f aca="false">COUNTIF(AF$20:AF$23,"С")-INDEX(Норми!$C$12:$I$47,MATCH("Хостес|С",Норми!$L$12:$L$47,0),MATCH(AF$5,Норми!$C$11:$I$11,0))</f>
        <v>0</v>
      </c>
      <c r="AG25" s="40" t="n">
        <f aca="false">COUNTIF(AG$20:AG$23,"С")-INDEX(Норми!$C$12:$I$47,MATCH("Хостес|С",Норми!$L$12:$L$47,0),MATCH(AG$5,Норми!$C$11:$I$11,0))</f>
        <v>0</v>
      </c>
      <c r="AH25" s="40" t="n">
        <f aca="false">COUNTIF(AH$20:AH$23,"С")-INDEX(Норми!$C$12:$I$47,MATCH("Хостес|С",Норми!$L$12:$L$47,0),MATCH(AH$5,Норми!$C$11:$I$11,0))</f>
        <v>0</v>
      </c>
    </row>
    <row r="26" customFormat="false" ht="15" hidden="false" customHeight="false" outlineLevel="0" collapsed="false">
      <c r="C26" s="35" t="s">
        <v>141</v>
      </c>
      <c r="D26" s="40" t="n">
        <f aca="false">COUNTIF(D$20:D$23,"В")-INDEX(Норми!$C$12:$I$47,MATCH("Хостес|В",Норми!$L$12:$L$47,0),MATCH(D$5,Норми!$C$11:$I$11,0))</f>
        <v>0</v>
      </c>
      <c r="E26" s="40" t="n">
        <f aca="false">COUNTIF(E$20:E$23,"В")-INDEX(Норми!$C$12:$I$47,MATCH("Хостес|В",Норми!$L$12:$L$47,0),MATCH(E$5,Норми!$C$11:$I$11,0))</f>
        <v>0</v>
      </c>
      <c r="F26" s="40" t="n">
        <f aca="false">COUNTIF(F$20:F$23,"В")-INDEX(Норми!$C$12:$I$47,MATCH("Хостес|В",Норми!$L$12:$L$47,0),MATCH(F$5,Норми!$C$11:$I$11,0))</f>
        <v>0</v>
      </c>
      <c r="G26" s="40" t="n">
        <f aca="false">COUNTIF(G$20:G$23,"В")-INDEX(Норми!$C$12:$I$47,MATCH("Хостес|В",Норми!$L$12:$L$47,0),MATCH(G$5,Норми!$C$11:$I$11,0))</f>
        <v>0</v>
      </c>
      <c r="H26" s="40" t="n">
        <f aca="false">COUNTIF(H$20:H$23,"В")-INDEX(Норми!$C$12:$I$47,MATCH("Хостес|В",Норми!$L$12:$L$47,0),MATCH(H$5,Норми!$C$11:$I$11,0))</f>
        <v>0</v>
      </c>
      <c r="I26" s="40" t="n">
        <f aca="false">COUNTIF(I$20:I$23,"В")-INDEX(Норми!$C$12:$I$47,MATCH("Хостес|В",Норми!$L$12:$L$47,0),MATCH(I$5,Норми!$C$11:$I$11,0))</f>
        <v>0</v>
      </c>
      <c r="J26" s="40" t="n">
        <f aca="false">COUNTIF(J$20:J$23,"В")-INDEX(Норми!$C$12:$I$47,MATCH("Хостес|В",Норми!$L$12:$L$47,0),MATCH(J$5,Норми!$C$11:$I$11,0))</f>
        <v>0</v>
      </c>
      <c r="K26" s="40" t="n">
        <f aca="false">COUNTIF(K$20:K$23,"В")-INDEX(Норми!$C$12:$I$47,MATCH("Хостес|В",Норми!$L$12:$L$47,0),MATCH(K$5,Норми!$C$11:$I$11,0))</f>
        <v>0</v>
      </c>
      <c r="L26" s="40" t="n">
        <f aca="false">COUNTIF(L$20:L$23,"В")-INDEX(Норми!$C$12:$I$47,MATCH("Хостес|В",Норми!$L$12:$L$47,0),MATCH(L$5,Норми!$C$11:$I$11,0))</f>
        <v>0</v>
      </c>
      <c r="M26" s="40" t="n">
        <f aca="false">COUNTIF(M$20:M$23,"В")-INDEX(Норми!$C$12:$I$47,MATCH("Хостес|В",Норми!$L$12:$L$47,0),MATCH(M$5,Норми!$C$11:$I$11,0))</f>
        <v>0</v>
      </c>
      <c r="N26" s="40" t="n">
        <f aca="false">COUNTIF(N$20:N$23,"В")-INDEX(Норми!$C$12:$I$47,MATCH("Хостес|В",Норми!$L$12:$L$47,0),MATCH(N$5,Норми!$C$11:$I$11,0))</f>
        <v>0</v>
      </c>
      <c r="O26" s="40" t="n">
        <f aca="false">COUNTIF(O$20:O$23,"В")-INDEX(Норми!$C$12:$I$47,MATCH("Хостес|В",Норми!$L$12:$L$47,0),MATCH(O$5,Норми!$C$11:$I$11,0))</f>
        <v>0</v>
      </c>
      <c r="P26" s="40" t="n">
        <f aca="false">COUNTIF(P$20:P$23,"В")-INDEX(Норми!$C$12:$I$47,MATCH("Хостес|В",Норми!$L$12:$L$47,0),MATCH(P$5,Норми!$C$11:$I$11,0))</f>
        <v>0</v>
      </c>
      <c r="Q26" s="40" t="n">
        <f aca="false">COUNTIF(Q$20:Q$23,"В")-INDEX(Норми!$C$12:$I$47,MATCH("Хостес|В",Норми!$L$12:$L$47,0),MATCH(Q$5,Норми!$C$11:$I$11,0))</f>
        <v>0</v>
      </c>
      <c r="R26" s="40" t="n">
        <f aca="false">COUNTIF(R$20:R$23,"В")-INDEX(Норми!$C$12:$I$47,MATCH("Хостес|В",Норми!$L$12:$L$47,0),MATCH(R$5,Норми!$C$11:$I$11,0))</f>
        <v>0</v>
      </c>
      <c r="S26" s="40" t="n">
        <f aca="false">COUNTIF(S$20:S$23,"В")-INDEX(Норми!$C$12:$I$47,MATCH("Хостес|В",Норми!$L$12:$L$47,0),MATCH(S$5,Норми!$C$11:$I$11,0))</f>
        <v>0</v>
      </c>
      <c r="T26" s="40" t="n">
        <f aca="false">COUNTIF(T$20:T$23,"В")-INDEX(Норми!$C$12:$I$47,MATCH("Хостес|В",Норми!$L$12:$L$47,0),MATCH(T$5,Норми!$C$11:$I$11,0))</f>
        <v>0</v>
      </c>
      <c r="U26" s="40" t="n">
        <f aca="false">COUNTIF(U$20:U$23,"В")-INDEX(Норми!$C$12:$I$47,MATCH("Хостес|В",Норми!$L$12:$L$47,0),MATCH(U$5,Норми!$C$11:$I$11,0))</f>
        <v>0</v>
      </c>
      <c r="V26" s="40" t="n">
        <f aca="false">COUNTIF(V$20:V$23,"В")-INDEX(Норми!$C$12:$I$47,MATCH("Хостес|В",Норми!$L$12:$L$47,0),MATCH(V$5,Норми!$C$11:$I$11,0))</f>
        <v>0</v>
      </c>
      <c r="W26" s="40" t="n">
        <f aca="false">COUNTIF(W$20:W$23,"В")-INDEX(Норми!$C$12:$I$47,MATCH("Хостес|В",Норми!$L$12:$L$47,0),MATCH(W$5,Норми!$C$11:$I$11,0))</f>
        <v>0</v>
      </c>
      <c r="X26" s="40" t="n">
        <f aca="false">COUNTIF(X$20:X$23,"В")-INDEX(Норми!$C$12:$I$47,MATCH("Хостес|В",Норми!$L$12:$L$47,0),MATCH(X$5,Норми!$C$11:$I$11,0))</f>
        <v>0</v>
      </c>
      <c r="Y26" s="40" t="n">
        <f aca="false">COUNTIF(Y$20:Y$23,"В")-INDEX(Норми!$C$12:$I$47,MATCH("Хостес|В",Норми!$L$12:$L$47,0),MATCH(Y$5,Норми!$C$11:$I$11,0))</f>
        <v>0</v>
      </c>
      <c r="Z26" s="40" t="n">
        <f aca="false">COUNTIF(Z$20:Z$23,"В")-INDEX(Норми!$C$12:$I$47,MATCH("Хостес|В",Норми!$L$12:$L$47,0),MATCH(Z$5,Норми!$C$11:$I$11,0))</f>
        <v>0</v>
      </c>
      <c r="AA26" s="40" t="n">
        <f aca="false">COUNTIF(AA$20:AA$23,"В")-INDEX(Норми!$C$12:$I$47,MATCH("Хостес|В",Норми!$L$12:$L$47,0),MATCH(AA$5,Норми!$C$11:$I$11,0))</f>
        <v>0</v>
      </c>
      <c r="AB26" s="40" t="n">
        <f aca="false">COUNTIF(AB$20:AB$23,"В")-INDEX(Норми!$C$12:$I$47,MATCH("Хостес|В",Норми!$L$12:$L$47,0),MATCH(AB$5,Норми!$C$11:$I$11,0))</f>
        <v>0</v>
      </c>
      <c r="AC26" s="40" t="n">
        <f aca="false">COUNTIF(AC$20:AC$23,"В")-INDEX(Норми!$C$12:$I$47,MATCH("Хостес|В",Норми!$L$12:$L$47,0),MATCH(AC$5,Норми!$C$11:$I$11,0))</f>
        <v>0</v>
      </c>
      <c r="AD26" s="40" t="n">
        <f aca="false">COUNTIF(AD$20:AD$23,"В")-INDEX(Норми!$C$12:$I$47,MATCH("Хостес|В",Норми!$L$12:$L$47,0),MATCH(AD$5,Норми!$C$11:$I$11,0))</f>
        <v>0</v>
      </c>
      <c r="AE26" s="40" t="n">
        <f aca="false">COUNTIF(AE$20:AE$23,"В")-INDEX(Норми!$C$12:$I$47,MATCH("Хостес|В",Норми!$L$12:$L$47,0),MATCH(AE$5,Норми!$C$11:$I$11,0))</f>
        <v>0</v>
      </c>
      <c r="AF26" s="40" t="n">
        <f aca="false">COUNTIF(AF$20:AF$23,"В")-INDEX(Норми!$C$12:$I$47,MATCH("Хостес|В",Норми!$L$12:$L$47,0),MATCH(AF$5,Норми!$C$11:$I$11,0))</f>
        <v>0</v>
      </c>
      <c r="AG26" s="40" t="n">
        <f aca="false">COUNTIF(AG$20:AG$23,"В")-INDEX(Норми!$C$12:$I$47,MATCH("Хостес|В",Норми!$L$12:$L$47,0),MATCH(AG$5,Норми!$C$11:$I$11,0))</f>
        <v>0</v>
      </c>
      <c r="AH26" s="40" t="n">
        <f aca="false">COUNTIF(AH$20:AH$23,"В")-INDEX(Норми!$C$12:$I$47,MATCH("Хостес|В",Норми!$L$12:$L$47,0),MATCH(AH$5,Норми!$C$11:$I$11,0))</f>
        <v>0</v>
      </c>
    </row>
    <row r="27" customFormat="false" ht="15" hidden="false" customHeight="false" outlineLevel="0" collapsed="false">
      <c r="C27" s="35" t="s">
        <v>148</v>
      </c>
      <c r="D27" s="40" t="n">
        <f aca="false">COUNTIF(D$20:D$23,"П")-INDEX(Норми!$C$12:$I$47,MATCH("Хостес|П",Норми!$L$12:$L$47,0),MATCH(D$5,Норми!$C$11:$I$11,0))</f>
        <v>0</v>
      </c>
      <c r="E27" s="40" t="n">
        <f aca="false">COUNTIF(E$20:E$23,"П")-INDEX(Норми!$C$12:$I$47,MATCH("Хостес|П",Норми!$L$12:$L$47,0),MATCH(E$5,Норми!$C$11:$I$11,0))</f>
        <v>0</v>
      </c>
      <c r="F27" s="40" t="n">
        <f aca="false">COUNTIF(F$20:F$23,"П")-INDEX(Норми!$C$12:$I$47,MATCH("Хостес|П",Норми!$L$12:$L$47,0),MATCH(F$5,Норми!$C$11:$I$11,0))</f>
        <v>0</v>
      </c>
      <c r="G27" s="40" t="n">
        <f aca="false">COUNTIF(G$20:G$23,"П")-INDEX(Норми!$C$12:$I$47,MATCH("Хостес|П",Норми!$L$12:$L$47,0),MATCH(G$5,Норми!$C$11:$I$11,0))</f>
        <v>0</v>
      </c>
      <c r="H27" s="40" t="n">
        <f aca="false">COUNTIF(H$20:H$23,"П")-INDEX(Норми!$C$12:$I$47,MATCH("Хостес|П",Норми!$L$12:$L$47,0),MATCH(H$5,Норми!$C$11:$I$11,0))</f>
        <v>0</v>
      </c>
      <c r="I27" s="40" t="n">
        <f aca="false">COUNTIF(I$20:I$23,"П")-INDEX(Норми!$C$12:$I$47,MATCH("Хостес|П",Норми!$L$12:$L$47,0),MATCH(I$5,Норми!$C$11:$I$11,0))</f>
        <v>0</v>
      </c>
      <c r="J27" s="40" t="n">
        <f aca="false">COUNTIF(J$20:J$23,"П")-INDEX(Норми!$C$12:$I$47,MATCH("Хостес|П",Норми!$L$12:$L$47,0),MATCH(J$5,Норми!$C$11:$I$11,0))</f>
        <v>0</v>
      </c>
      <c r="K27" s="40" t="n">
        <f aca="false">COUNTIF(K$20:K$23,"П")-INDEX(Норми!$C$12:$I$47,MATCH("Хостес|П",Норми!$L$12:$L$47,0),MATCH(K$5,Норми!$C$11:$I$11,0))</f>
        <v>0</v>
      </c>
      <c r="L27" s="40" t="n">
        <f aca="false">COUNTIF(L$20:L$23,"П")-INDEX(Норми!$C$12:$I$47,MATCH("Хостес|П",Норми!$L$12:$L$47,0),MATCH(L$5,Норми!$C$11:$I$11,0))</f>
        <v>0</v>
      </c>
      <c r="M27" s="40" t="n">
        <f aca="false">COUNTIF(M$20:M$23,"П")-INDEX(Норми!$C$12:$I$47,MATCH("Хостес|П",Норми!$L$12:$L$47,0),MATCH(M$5,Норми!$C$11:$I$11,0))</f>
        <v>0</v>
      </c>
      <c r="N27" s="40" t="n">
        <f aca="false">COUNTIF(N$20:N$23,"П")-INDEX(Норми!$C$12:$I$47,MATCH("Хостес|П",Норми!$L$12:$L$47,0),MATCH(N$5,Норми!$C$11:$I$11,0))</f>
        <v>0</v>
      </c>
      <c r="O27" s="40" t="n">
        <f aca="false">COUNTIF(O$20:O$23,"П")-INDEX(Норми!$C$12:$I$47,MATCH("Хостес|П",Норми!$L$12:$L$47,0),MATCH(O$5,Норми!$C$11:$I$11,0))</f>
        <v>0</v>
      </c>
      <c r="P27" s="40" t="n">
        <f aca="false">COUNTIF(P$20:P$23,"П")-INDEX(Норми!$C$12:$I$47,MATCH("Хостес|П",Норми!$L$12:$L$47,0),MATCH(P$5,Норми!$C$11:$I$11,0))</f>
        <v>0</v>
      </c>
      <c r="Q27" s="40" t="n">
        <f aca="false">COUNTIF(Q$20:Q$23,"П")-INDEX(Норми!$C$12:$I$47,MATCH("Хостес|П",Норми!$L$12:$L$47,0),MATCH(Q$5,Норми!$C$11:$I$11,0))</f>
        <v>0</v>
      </c>
      <c r="R27" s="40" t="n">
        <f aca="false">COUNTIF(R$20:R$23,"П")-INDEX(Норми!$C$12:$I$47,MATCH("Хостес|П",Норми!$L$12:$L$47,0),MATCH(R$5,Норми!$C$11:$I$11,0))</f>
        <v>0</v>
      </c>
      <c r="S27" s="40" t="n">
        <f aca="false">COUNTIF(S$20:S$23,"П")-INDEX(Норми!$C$12:$I$47,MATCH("Хостес|П",Норми!$L$12:$L$47,0),MATCH(S$5,Норми!$C$11:$I$11,0))</f>
        <v>0</v>
      </c>
      <c r="T27" s="40" t="n">
        <f aca="false">COUNTIF(T$20:T$23,"П")-INDEX(Норми!$C$12:$I$47,MATCH("Хостес|П",Норми!$L$12:$L$47,0),MATCH(T$5,Норми!$C$11:$I$11,0))</f>
        <v>0</v>
      </c>
      <c r="U27" s="40" t="n">
        <f aca="false">COUNTIF(U$20:U$23,"П")-INDEX(Норми!$C$12:$I$47,MATCH("Хостес|П",Норми!$L$12:$L$47,0),MATCH(U$5,Норми!$C$11:$I$11,0))</f>
        <v>0</v>
      </c>
      <c r="V27" s="40" t="n">
        <f aca="false">COUNTIF(V$20:V$23,"П")-INDEX(Норми!$C$12:$I$47,MATCH("Хостес|П",Норми!$L$12:$L$47,0),MATCH(V$5,Норми!$C$11:$I$11,0))</f>
        <v>0</v>
      </c>
      <c r="W27" s="40" t="n">
        <f aca="false">COUNTIF(W$20:W$23,"П")-INDEX(Норми!$C$12:$I$47,MATCH("Хостес|П",Норми!$L$12:$L$47,0),MATCH(W$5,Норми!$C$11:$I$11,0))</f>
        <v>0</v>
      </c>
      <c r="X27" s="40" t="n">
        <f aca="false">COUNTIF(X$20:X$23,"П")-INDEX(Норми!$C$12:$I$47,MATCH("Хостес|П",Норми!$L$12:$L$47,0),MATCH(X$5,Норми!$C$11:$I$11,0))</f>
        <v>0</v>
      </c>
      <c r="Y27" s="40" t="n">
        <f aca="false">COUNTIF(Y$20:Y$23,"П")-INDEX(Норми!$C$12:$I$47,MATCH("Хостес|П",Норми!$L$12:$L$47,0),MATCH(Y$5,Норми!$C$11:$I$11,0))</f>
        <v>0</v>
      </c>
      <c r="Z27" s="40" t="n">
        <f aca="false">COUNTIF(Z$20:Z$23,"П")-INDEX(Норми!$C$12:$I$47,MATCH("Хостес|П",Норми!$L$12:$L$47,0),MATCH(Z$5,Норми!$C$11:$I$11,0))</f>
        <v>0</v>
      </c>
      <c r="AA27" s="40" t="n">
        <f aca="false">COUNTIF(AA$20:AA$23,"П")-INDEX(Норми!$C$12:$I$47,MATCH("Хостес|П",Норми!$L$12:$L$47,0),MATCH(AA$5,Норми!$C$11:$I$11,0))</f>
        <v>0</v>
      </c>
      <c r="AB27" s="40" t="n">
        <f aca="false">COUNTIF(AB$20:AB$23,"П")-INDEX(Норми!$C$12:$I$47,MATCH("Хостес|П",Норми!$L$12:$L$47,0),MATCH(AB$5,Норми!$C$11:$I$11,0))</f>
        <v>0</v>
      </c>
      <c r="AC27" s="40" t="n">
        <f aca="false">COUNTIF(AC$20:AC$23,"П")-INDEX(Норми!$C$12:$I$47,MATCH("Хостес|П",Норми!$L$12:$L$47,0),MATCH(AC$5,Норми!$C$11:$I$11,0))</f>
        <v>0</v>
      </c>
      <c r="AD27" s="40" t="n">
        <f aca="false">COUNTIF(AD$20:AD$23,"П")-INDEX(Норми!$C$12:$I$47,MATCH("Хостес|П",Норми!$L$12:$L$47,0),MATCH(AD$5,Норми!$C$11:$I$11,0))</f>
        <v>0</v>
      </c>
      <c r="AE27" s="40" t="n">
        <f aca="false">COUNTIF(AE$20:AE$23,"П")-INDEX(Норми!$C$12:$I$47,MATCH("Хостес|П",Норми!$L$12:$L$47,0),MATCH(AE$5,Норми!$C$11:$I$11,0))</f>
        <v>0</v>
      </c>
      <c r="AF27" s="40" t="n">
        <f aca="false">COUNTIF(AF$20:AF$23,"П")-INDEX(Норми!$C$12:$I$47,MATCH("Хостес|П",Норми!$L$12:$L$47,0),MATCH(AF$5,Норми!$C$11:$I$11,0))</f>
        <v>0</v>
      </c>
      <c r="AG27" s="40" t="n">
        <f aca="false">COUNTIF(AG$20:AG$23,"П")-INDEX(Норми!$C$12:$I$47,MATCH("Хостес|П",Норми!$L$12:$L$47,0),MATCH(AG$5,Норми!$C$11:$I$11,0))</f>
        <v>0</v>
      </c>
      <c r="AH27" s="40" t="n">
        <f aca="false">COUNTIF(AH$20:AH$23,"П")-INDEX(Норми!$C$12:$I$47,MATCH("Хостес|П",Норми!$L$12:$L$47,0),MATCH(AH$5,Норми!$C$11:$I$11,0))</f>
        <v>0</v>
      </c>
    </row>
    <row r="29" customFormat="false" ht="15" hidden="false" customHeight="false" outlineLevel="0" collapsed="false">
      <c r="A29" s="21" t="s">
        <v>149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</row>
    <row r="30" customFormat="false" ht="15" hidden="false" customHeight="false" outlineLevel="0" collapsed="false">
      <c r="A30" s="8" t="n">
        <v>8</v>
      </c>
      <c r="B30" s="7" t="s">
        <v>94</v>
      </c>
      <c r="C30" s="37" t="s">
        <v>150</v>
      </c>
      <c r="D30" s="38" t="s">
        <v>55</v>
      </c>
      <c r="E30" s="38" t="s">
        <v>49</v>
      </c>
      <c r="F30" s="38" t="s">
        <v>49</v>
      </c>
      <c r="G30" s="38" t="s">
        <v>49</v>
      </c>
      <c r="H30" s="38"/>
      <c r="I30" s="38"/>
      <c r="J30" s="38" t="s">
        <v>41</v>
      </c>
      <c r="K30" s="38"/>
      <c r="L30" s="38" t="s">
        <v>49</v>
      </c>
      <c r="M30" s="38" t="s">
        <v>49</v>
      </c>
      <c r="N30" s="38" t="s">
        <v>49</v>
      </c>
      <c r="O30" s="38"/>
      <c r="P30" s="38" t="s">
        <v>49</v>
      </c>
      <c r="Q30" s="38" t="s">
        <v>49</v>
      </c>
      <c r="R30" s="38"/>
      <c r="S30" s="38" t="s">
        <v>41</v>
      </c>
      <c r="T30" s="38" t="s">
        <v>41</v>
      </c>
      <c r="U30" s="38" t="s">
        <v>41</v>
      </c>
      <c r="V30" s="38" t="s">
        <v>41</v>
      </c>
      <c r="W30" s="38"/>
      <c r="X30" s="38"/>
      <c r="Y30" s="38"/>
      <c r="Z30" s="38" t="s">
        <v>45</v>
      </c>
      <c r="AA30" s="38" t="s">
        <v>45</v>
      </c>
      <c r="AB30" s="38" t="s">
        <v>45</v>
      </c>
      <c r="AC30" s="38"/>
      <c r="AD30" s="38"/>
      <c r="AE30" s="38" t="s">
        <v>41</v>
      </c>
      <c r="AF30" s="38" t="s">
        <v>41</v>
      </c>
      <c r="AG30" s="38"/>
      <c r="AH30" s="38" t="s">
        <v>45</v>
      </c>
      <c r="AI30" s="8" t="n">
        <f aca="false">COUNTA(D30:AH30)</f>
        <v>20</v>
      </c>
      <c r="AJ30" s="39" t="n">
        <f aca="false">SUMPRODUCT((D30:AH30="Р")*$D$7:$AH$7)+SUMPRODUCT((D30:AH30="С")*$D$8:$AH$8)+SUMPRODUCT((D30:AH30="В")*$D$9:$AH$9)+SUMPRODUCT((D30:AH30="П")*$D$10:$AH$10)</f>
        <v>149.5</v>
      </c>
      <c r="AK30" s="8" t="n">
        <f aca="false">COLUMNS(D30:AH30)-AI30</f>
        <v>11</v>
      </c>
      <c r="AL30" s="8" t="n">
        <f aca="false">SUMPRODUCT((D30:AH30&lt;&gt;"")*(($D$5:$AH$5="Пт")+($D$5:$AH$5="Сб")))</f>
        <v>9</v>
      </c>
      <c r="AM30" s="26" t="n">
        <f aca="false">AJ30-Зміни!$C$19</f>
        <v>-26.5</v>
      </c>
    </row>
    <row r="31" customFormat="false" ht="15" hidden="false" customHeight="false" outlineLevel="0" collapsed="false">
      <c r="A31" s="8" t="n">
        <v>9</v>
      </c>
      <c r="B31" s="7" t="s">
        <v>94</v>
      </c>
      <c r="C31" s="37" t="s">
        <v>151</v>
      </c>
      <c r="D31" s="38" t="s">
        <v>49</v>
      </c>
      <c r="E31" s="38" t="s">
        <v>49</v>
      </c>
      <c r="F31" s="38" t="s">
        <v>49</v>
      </c>
      <c r="G31" s="38" t="s">
        <v>49</v>
      </c>
      <c r="H31" s="38"/>
      <c r="I31" s="38" t="s">
        <v>49</v>
      </c>
      <c r="J31" s="38" t="s">
        <v>49</v>
      </c>
      <c r="K31" s="38" t="s">
        <v>49</v>
      </c>
      <c r="L31" s="38" t="s">
        <v>55</v>
      </c>
      <c r="M31" s="38" t="s">
        <v>55</v>
      </c>
      <c r="N31" s="38"/>
      <c r="O31" s="38" t="s">
        <v>49</v>
      </c>
      <c r="P31" s="38"/>
      <c r="Q31" s="38"/>
      <c r="R31" s="38" t="s">
        <v>45</v>
      </c>
      <c r="S31" s="38" t="s">
        <v>55</v>
      </c>
      <c r="T31" s="38" t="s">
        <v>45</v>
      </c>
      <c r="U31" s="38"/>
      <c r="V31" s="38"/>
      <c r="W31" s="38" t="s">
        <v>41</v>
      </c>
      <c r="X31" s="38" t="s">
        <v>41</v>
      </c>
      <c r="Y31" s="38"/>
      <c r="Z31" s="38"/>
      <c r="AA31" s="38" t="s">
        <v>41</v>
      </c>
      <c r="AB31" s="38" t="s">
        <v>41</v>
      </c>
      <c r="AC31" s="38"/>
      <c r="AD31" s="38"/>
      <c r="AE31" s="38" t="s">
        <v>41</v>
      </c>
      <c r="AF31" s="38" t="s">
        <v>41</v>
      </c>
      <c r="AG31" s="38" t="s">
        <v>55</v>
      </c>
      <c r="AH31" s="38" t="s">
        <v>55</v>
      </c>
      <c r="AI31" s="8" t="n">
        <f aca="false">COUNTA(D31:AH31)</f>
        <v>21</v>
      </c>
      <c r="AJ31" s="39" t="n">
        <f aca="false">SUMPRODUCT((D31:AH31="Р")*$D$7:$AH$7)+SUMPRODUCT((D31:AH31="С")*$D$8:$AH$8)+SUMPRODUCT((D31:AH31="В")*$D$9:$AH$9)+SUMPRODUCT((D31:AH31="П")*$D$10:$AH$10)</f>
        <v>150.5</v>
      </c>
      <c r="AK31" s="8" t="n">
        <f aca="false">COLUMNS(D31:AH31)-AI31</f>
        <v>10</v>
      </c>
      <c r="AL31" s="8" t="n">
        <f aca="false">SUMPRODUCT((D31:AH31&lt;&gt;"")*(($D$5:$AH$5="Пт")+($D$5:$AH$5="Сб")))</f>
        <v>9</v>
      </c>
      <c r="AM31" s="26" t="n">
        <f aca="false">AJ31-Зміни!$C$19</f>
        <v>-25.5</v>
      </c>
    </row>
    <row r="32" customFormat="false" ht="15" hidden="false" customHeight="false" outlineLevel="0" collapsed="false">
      <c r="A32" s="8" t="n">
        <v>10</v>
      </c>
      <c r="B32" s="7" t="s">
        <v>94</v>
      </c>
      <c r="C32" s="37" t="s">
        <v>152</v>
      </c>
      <c r="D32" s="38"/>
      <c r="E32" s="38" t="s">
        <v>41</v>
      </c>
      <c r="F32" s="38" t="s">
        <v>41</v>
      </c>
      <c r="G32" s="38" t="s">
        <v>41</v>
      </c>
      <c r="H32" s="38" t="s">
        <v>41</v>
      </c>
      <c r="I32" s="38"/>
      <c r="J32" s="38"/>
      <c r="K32" s="38" t="s">
        <v>45</v>
      </c>
      <c r="L32" s="38" t="s">
        <v>49</v>
      </c>
      <c r="M32" s="38" t="s">
        <v>49</v>
      </c>
      <c r="N32" s="38"/>
      <c r="O32" s="38" t="s">
        <v>49</v>
      </c>
      <c r="P32" s="38" t="s">
        <v>49</v>
      </c>
      <c r="Q32" s="38" t="s">
        <v>49</v>
      </c>
      <c r="R32" s="38"/>
      <c r="S32" s="38" t="s">
        <v>49</v>
      </c>
      <c r="T32" s="38" t="s">
        <v>49</v>
      </c>
      <c r="U32" s="38" t="s">
        <v>49</v>
      </c>
      <c r="V32" s="38" t="s">
        <v>49</v>
      </c>
      <c r="W32" s="38"/>
      <c r="X32" s="38"/>
      <c r="Y32" s="38" t="s">
        <v>49</v>
      </c>
      <c r="Z32" s="38" t="s">
        <v>49</v>
      </c>
      <c r="AA32" s="38" t="s">
        <v>49</v>
      </c>
      <c r="AB32" s="38"/>
      <c r="AC32" s="38" t="s">
        <v>49</v>
      </c>
      <c r="AD32" s="38"/>
      <c r="AE32" s="38"/>
      <c r="AF32" s="38"/>
      <c r="AG32" s="38" t="s">
        <v>41</v>
      </c>
      <c r="AH32" s="38" t="s">
        <v>41</v>
      </c>
      <c r="AI32" s="8" t="n">
        <f aca="false">COUNTA(D32:AH32)</f>
        <v>20</v>
      </c>
      <c r="AJ32" s="39" t="n">
        <f aca="false">SUMPRODUCT((D32:AH32="Р")*$D$7:$AH$7)+SUMPRODUCT((D32:AH32="С")*$D$8:$AH$8)+SUMPRODUCT((D32:AH32="В")*$D$9:$AH$9)+SUMPRODUCT((D32:AH32="П")*$D$10:$AH$10)</f>
        <v>150</v>
      </c>
      <c r="AK32" s="8" t="n">
        <f aca="false">COLUMNS(D32:AH32)-AI32</f>
        <v>11</v>
      </c>
      <c r="AL32" s="8" t="n">
        <f aca="false">SUMPRODUCT((D32:AH32&lt;&gt;"")*(($D$5:$AH$5="Пт")+($D$5:$AH$5="Сб")))</f>
        <v>10</v>
      </c>
      <c r="AM32" s="26" t="n">
        <f aca="false">AJ32-Зміни!$C$19</f>
        <v>-26</v>
      </c>
    </row>
    <row r="33" customFormat="false" ht="15" hidden="false" customHeight="false" outlineLevel="0" collapsed="false">
      <c r="A33" s="8" t="n">
        <v>11</v>
      </c>
      <c r="B33" s="7" t="s">
        <v>94</v>
      </c>
      <c r="C33" s="37" t="s">
        <v>153</v>
      </c>
      <c r="D33" s="38" t="s">
        <v>49</v>
      </c>
      <c r="E33" s="38" t="s">
        <v>49</v>
      </c>
      <c r="F33" s="38" t="s">
        <v>45</v>
      </c>
      <c r="G33" s="38" t="s">
        <v>45</v>
      </c>
      <c r="H33" s="38"/>
      <c r="I33" s="38"/>
      <c r="J33" s="38"/>
      <c r="K33" s="38"/>
      <c r="L33" s="38"/>
      <c r="M33" s="38" t="s">
        <v>41</v>
      </c>
      <c r="N33" s="38" t="s">
        <v>41</v>
      </c>
      <c r="O33" s="38" t="s">
        <v>41</v>
      </c>
      <c r="P33" s="38" t="s">
        <v>41</v>
      </c>
      <c r="Q33" s="38"/>
      <c r="R33" s="38" t="s">
        <v>41</v>
      </c>
      <c r="S33" s="38" t="s">
        <v>41</v>
      </c>
      <c r="T33" s="38" t="s">
        <v>55</v>
      </c>
      <c r="U33" s="38"/>
      <c r="V33" s="38"/>
      <c r="W33" s="38" t="s">
        <v>49</v>
      </c>
      <c r="X33" s="38" t="s">
        <v>49</v>
      </c>
      <c r="Y33" s="38"/>
      <c r="Z33" s="38" t="s">
        <v>41</v>
      </c>
      <c r="AA33" s="38" t="s">
        <v>41</v>
      </c>
      <c r="AB33" s="38" t="s">
        <v>41</v>
      </c>
      <c r="AC33" s="38" t="s">
        <v>41</v>
      </c>
      <c r="AD33" s="38"/>
      <c r="AE33" s="38"/>
      <c r="AF33" s="38" t="s">
        <v>45</v>
      </c>
      <c r="AG33" s="38" t="s">
        <v>45</v>
      </c>
      <c r="AH33" s="38" t="s">
        <v>45</v>
      </c>
      <c r="AI33" s="8" t="n">
        <f aca="false">COUNTA(D33:AH33)</f>
        <v>20</v>
      </c>
      <c r="AJ33" s="39" t="n">
        <f aca="false">SUMPRODUCT((D33:AH33="Р")*$D$7:$AH$7)+SUMPRODUCT((D33:AH33="С")*$D$8:$AH$8)+SUMPRODUCT((D33:AH33="В")*$D$9:$AH$9)+SUMPRODUCT((D33:AH33="П")*$D$10:$AH$10)</f>
        <v>151</v>
      </c>
      <c r="AK33" s="8" t="n">
        <f aca="false">COLUMNS(D33:AH33)-AI33</f>
        <v>11</v>
      </c>
      <c r="AL33" s="8" t="n">
        <f aca="false">SUMPRODUCT((D33:AH33&lt;&gt;"")*(($D$5:$AH$5="Пт")+($D$5:$AH$5="Сб")))</f>
        <v>9</v>
      </c>
      <c r="AM33" s="26" t="n">
        <f aca="false">AJ33-Зміни!$C$19</f>
        <v>-25</v>
      </c>
    </row>
    <row r="34" customFormat="false" ht="15" hidden="false" customHeight="false" outlineLevel="0" collapsed="false">
      <c r="A34" s="8" t="n">
        <v>12</v>
      </c>
      <c r="B34" s="7" t="s">
        <v>94</v>
      </c>
      <c r="C34" s="37" t="s">
        <v>154</v>
      </c>
      <c r="D34" s="38" t="s">
        <v>45</v>
      </c>
      <c r="E34" s="38" t="s">
        <v>55</v>
      </c>
      <c r="F34" s="38" t="s">
        <v>55</v>
      </c>
      <c r="G34" s="38"/>
      <c r="H34" s="38" t="s">
        <v>49</v>
      </c>
      <c r="I34" s="38"/>
      <c r="J34" s="38"/>
      <c r="K34" s="38" t="s">
        <v>41</v>
      </c>
      <c r="L34" s="38" t="s">
        <v>41</v>
      </c>
      <c r="M34" s="38" t="s">
        <v>45</v>
      </c>
      <c r="N34" s="38" t="s">
        <v>45</v>
      </c>
      <c r="O34" s="38"/>
      <c r="P34" s="38"/>
      <c r="Q34" s="38"/>
      <c r="R34" s="38" t="s">
        <v>41</v>
      </c>
      <c r="S34" s="38" t="s">
        <v>45</v>
      </c>
      <c r="T34" s="38" t="s">
        <v>45</v>
      </c>
      <c r="U34" s="38" t="s">
        <v>45</v>
      </c>
      <c r="V34" s="38"/>
      <c r="W34" s="38"/>
      <c r="X34" s="38" t="s">
        <v>49</v>
      </c>
      <c r="Y34" s="38" t="s">
        <v>49</v>
      </c>
      <c r="Z34" s="38" t="s">
        <v>49</v>
      </c>
      <c r="AA34" s="38" t="s">
        <v>49</v>
      </c>
      <c r="AB34" s="38" t="s">
        <v>49</v>
      </c>
      <c r="AC34" s="38"/>
      <c r="AD34" s="38" t="s">
        <v>41</v>
      </c>
      <c r="AE34" s="38"/>
      <c r="AF34" s="38"/>
      <c r="AG34" s="38" t="s">
        <v>41</v>
      </c>
      <c r="AH34" s="38" t="s">
        <v>41</v>
      </c>
      <c r="AI34" s="8" t="n">
        <f aca="false">COUNTA(D34:AH34)</f>
        <v>20</v>
      </c>
      <c r="AJ34" s="39" t="n">
        <f aca="false">SUMPRODUCT((D34:AH34="Р")*$D$7:$AH$7)+SUMPRODUCT((D34:AH34="С")*$D$8:$AH$8)+SUMPRODUCT((D34:AH34="В")*$D$9:$AH$9)+SUMPRODUCT((D34:AH34="П")*$D$10:$AH$10)</f>
        <v>149.5</v>
      </c>
      <c r="AK34" s="8" t="n">
        <f aca="false">COLUMNS(D34:AH34)-AI34</f>
        <v>11</v>
      </c>
      <c r="AL34" s="8" t="n">
        <f aca="false">SUMPRODUCT((D34:AH34&lt;&gt;"")*(($D$5:$AH$5="Пт")+($D$5:$AH$5="Сб")))</f>
        <v>10</v>
      </c>
      <c r="AM34" s="26" t="n">
        <f aca="false">AJ34-Зміни!$C$19</f>
        <v>-26.5</v>
      </c>
    </row>
    <row r="35" customFormat="false" ht="15" hidden="false" customHeight="false" outlineLevel="0" collapsed="false">
      <c r="A35" s="8" t="n">
        <v>13</v>
      </c>
      <c r="B35" s="7" t="s">
        <v>94</v>
      </c>
      <c r="C35" s="37" t="s">
        <v>155</v>
      </c>
      <c r="D35" s="38"/>
      <c r="E35" s="38" t="s">
        <v>45</v>
      </c>
      <c r="F35" s="38" t="s">
        <v>45</v>
      </c>
      <c r="G35" s="38" t="s">
        <v>45</v>
      </c>
      <c r="H35" s="38"/>
      <c r="I35" s="38"/>
      <c r="J35" s="38"/>
      <c r="K35" s="38" t="s">
        <v>41</v>
      </c>
      <c r="L35" s="38" t="s">
        <v>41</v>
      </c>
      <c r="M35" s="38" t="s">
        <v>41</v>
      </c>
      <c r="N35" s="38" t="s">
        <v>41</v>
      </c>
      <c r="O35" s="38"/>
      <c r="P35" s="38"/>
      <c r="Q35" s="38" t="s">
        <v>41</v>
      </c>
      <c r="R35" s="38"/>
      <c r="S35" s="38" t="s">
        <v>41</v>
      </c>
      <c r="T35" s="38" t="s">
        <v>41</v>
      </c>
      <c r="U35" s="38" t="s">
        <v>41</v>
      </c>
      <c r="V35" s="38" t="s">
        <v>41</v>
      </c>
      <c r="W35" s="38" t="s">
        <v>41</v>
      </c>
      <c r="X35" s="38"/>
      <c r="Y35" s="38" t="s">
        <v>55</v>
      </c>
      <c r="Z35" s="38" t="s">
        <v>55</v>
      </c>
      <c r="AA35" s="38" t="s">
        <v>55</v>
      </c>
      <c r="AB35" s="38"/>
      <c r="AC35" s="38"/>
      <c r="AD35" s="38" t="s">
        <v>49</v>
      </c>
      <c r="AE35" s="38" t="s">
        <v>49</v>
      </c>
      <c r="AF35" s="38" t="s">
        <v>55</v>
      </c>
      <c r="AG35" s="38" t="s">
        <v>55</v>
      </c>
      <c r="AH35" s="38" t="s">
        <v>55</v>
      </c>
      <c r="AI35" s="8" t="n">
        <f aca="false">COUNTA(D35:AH35)</f>
        <v>21</v>
      </c>
      <c r="AJ35" s="39" t="n">
        <f aca="false">SUMPRODUCT((D35:AH35="Р")*$D$7:$AH$7)+SUMPRODUCT((D35:AH35="С")*$D$8:$AH$8)+SUMPRODUCT((D35:AH35="В")*$D$9:$AH$9)+SUMPRODUCT((D35:AH35="П")*$D$10:$AH$10)</f>
        <v>150</v>
      </c>
      <c r="AK35" s="8" t="n">
        <f aca="false">COLUMNS(D35:AH35)-AI35</f>
        <v>10</v>
      </c>
      <c r="AL35" s="8" t="n">
        <f aca="false">SUMPRODUCT((D35:AH35&lt;&gt;"")*(($D$5:$AH$5="Пт")+($D$5:$AH$5="Сб")))</f>
        <v>10</v>
      </c>
      <c r="AM35" s="26" t="n">
        <f aca="false">AJ35-Зміни!$C$19</f>
        <v>-26</v>
      </c>
    </row>
    <row r="36" customFormat="false" ht="15" hidden="false" customHeight="false" outlineLevel="0" collapsed="false">
      <c r="A36" s="8" t="n">
        <v>14</v>
      </c>
      <c r="B36" s="7" t="s">
        <v>94</v>
      </c>
      <c r="C36" s="37" t="s">
        <v>156</v>
      </c>
      <c r="D36" s="38" t="s">
        <v>49</v>
      </c>
      <c r="E36" s="38" t="s">
        <v>49</v>
      </c>
      <c r="F36" s="38" t="s">
        <v>49</v>
      </c>
      <c r="G36" s="38"/>
      <c r="H36" s="38"/>
      <c r="I36" s="38" t="s">
        <v>49</v>
      </c>
      <c r="J36" s="38" t="s">
        <v>49</v>
      </c>
      <c r="K36" s="38" t="s">
        <v>49</v>
      </c>
      <c r="L36" s="38" t="s">
        <v>49</v>
      </c>
      <c r="M36" s="38" t="s">
        <v>49</v>
      </c>
      <c r="N36" s="38"/>
      <c r="O36" s="38"/>
      <c r="P36" s="38" t="s">
        <v>41</v>
      </c>
      <c r="Q36" s="38"/>
      <c r="R36" s="38"/>
      <c r="S36" s="38"/>
      <c r="T36" s="38" t="s">
        <v>41</v>
      </c>
      <c r="U36" s="38" t="s">
        <v>41</v>
      </c>
      <c r="V36" s="38" t="s">
        <v>49</v>
      </c>
      <c r="W36" s="38"/>
      <c r="X36" s="38" t="s">
        <v>49</v>
      </c>
      <c r="Y36" s="38"/>
      <c r="Z36" s="38" t="s">
        <v>41</v>
      </c>
      <c r="AA36" s="38" t="s">
        <v>41</v>
      </c>
      <c r="AB36" s="38" t="s">
        <v>41</v>
      </c>
      <c r="AC36" s="38" t="s">
        <v>41</v>
      </c>
      <c r="AD36" s="38" t="s">
        <v>41</v>
      </c>
      <c r="AE36" s="38"/>
      <c r="AF36" s="38"/>
      <c r="AG36" s="38" t="s">
        <v>41</v>
      </c>
      <c r="AH36" s="38" t="s">
        <v>41</v>
      </c>
      <c r="AI36" s="8" t="n">
        <f aca="false">COUNTA(D36:AH36)</f>
        <v>20</v>
      </c>
      <c r="AJ36" s="39" t="n">
        <f aca="false">SUMPRODUCT((D36:AH36="Р")*$D$7:$AH$7)+SUMPRODUCT((D36:AH36="С")*$D$8:$AH$8)+SUMPRODUCT((D36:AH36="В")*$D$9:$AH$9)+SUMPRODUCT((D36:AH36="П")*$D$10:$AH$10)</f>
        <v>150</v>
      </c>
      <c r="AK36" s="8" t="n">
        <f aca="false">COLUMNS(D36:AH36)-AI36</f>
        <v>11</v>
      </c>
      <c r="AL36" s="8" t="n">
        <f aca="false">SUMPRODUCT((D36:AH36&lt;&gt;"")*(($D$5:$AH$5="Пт")+($D$5:$AH$5="Сб")))</f>
        <v>9</v>
      </c>
      <c r="AM36" s="26" t="n">
        <f aca="false">AJ36-Зміни!$C$19</f>
        <v>-26</v>
      </c>
    </row>
    <row r="37" customFormat="false" ht="15" hidden="false" customHeight="false" outlineLevel="0" collapsed="false">
      <c r="A37" s="8" t="n">
        <v>15</v>
      </c>
      <c r="B37" s="7" t="s">
        <v>94</v>
      </c>
      <c r="C37" s="37" t="s">
        <v>157</v>
      </c>
      <c r="D37" s="38" t="s">
        <v>41</v>
      </c>
      <c r="E37" s="38" t="s">
        <v>41</v>
      </c>
      <c r="F37" s="38" t="s">
        <v>49</v>
      </c>
      <c r="G37" s="38" t="s">
        <v>49</v>
      </c>
      <c r="H37" s="38"/>
      <c r="I37" s="38" t="s">
        <v>41</v>
      </c>
      <c r="J37" s="38"/>
      <c r="K37" s="38"/>
      <c r="L37" s="38" t="s">
        <v>45</v>
      </c>
      <c r="M37" s="38" t="s">
        <v>45</v>
      </c>
      <c r="N37" s="38" t="s">
        <v>45</v>
      </c>
      <c r="O37" s="38"/>
      <c r="P37" s="38"/>
      <c r="Q37" s="38" t="s">
        <v>49</v>
      </c>
      <c r="R37" s="38" t="s">
        <v>49</v>
      </c>
      <c r="S37" s="38" t="s">
        <v>49</v>
      </c>
      <c r="T37" s="38" t="s">
        <v>49</v>
      </c>
      <c r="U37" s="38"/>
      <c r="V37" s="38"/>
      <c r="W37" s="38" t="s">
        <v>49</v>
      </c>
      <c r="X37" s="38"/>
      <c r="Y37" s="38" t="s">
        <v>49</v>
      </c>
      <c r="Z37" s="38" t="s">
        <v>49</v>
      </c>
      <c r="AA37" s="38" t="s">
        <v>49</v>
      </c>
      <c r="AB37" s="38" t="s">
        <v>49</v>
      </c>
      <c r="AC37" s="38" t="s">
        <v>49</v>
      </c>
      <c r="AD37" s="38"/>
      <c r="AE37" s="38"/>
      <c r="AF37" s="38"/>
      <c r="AG37" s="38" t="s">
        <v>49</v>
      </c>
      <c r="AH37" s="38" t="s">
        <v>49</v>
      </c>
      <c r="AI37" s="8" t="n">
        <f aca="false">COUNTA(D37:AH37)</f>
        <v>20</v>
      </c>
      <c r="AJ37" s="39" t="n">
        <f aca="false">SUMPRODUCT((D37:AH37="Р")*$D$7:$AH$7)+SUMPRODUCT((D37:AH37="С")*$D$8:$AH$8)+SUMPRODUCT((D37:AH37="В")*$D$9:$AH$9)+SUMPRODUCT((D37:AH37="П")*$D$10:$AH$10)</f>
        <v>150.5</v>
      </c>
      <c r="AK37" s="8" t="n">
        <f aca="false">COLUMNS(D37:AH37)-AI37</f>
        <v>11</v>
      </c>
      <c r="AL37" s="8" t="n">
        <f aca="false">SUMPRODUCT((D37:AH37&lt;&gt;"")*(($D$5:$AH$5="Пт")+($D$5:$AH$5="Сб")))</f>
        <v>10</v>
      </c>
      <c r="AM37" s="26" t="n">
        <f aca="false">AJ37-Зміни!$C$19</f>
        <v>-25.5</v>
      </c>
    </row>
    <row r="38" customFormat="false" ht="15" hidden="false" customHeight="false" outlineLevel="0" collapsed="false">
      <c r="A38" s="8" t="n">
        <v>16</v>
      </c>
      <c r="B38" s="7" t="s">
        <v>94</v>
      </c>
      <c r="C38" s="37" t="s">
        <v>158</v>
      </c>
      <c r="D38" s="38" t="s">
        <v>41</v>
      </c>
      <c r="E38" s="38" t="s">
        <v>41</v>
      </c>
      <c r="F38" s="38" t="s">
        <v>41</v>
      </c>
      <c r="G38" s="38" t="s">
        <v>41</v>
      </c>
      <c r="H38" s="38" t="s">
        <v>41</v>
      </c>
      <c r="I38" s="38"/>
      <c r="J38" s="38"/>
      <c r="K38" s="38" t="s">
        <v>55</v>
      </c>
      <c r="L38" s="38" t="s">
        <v>55</v>
      </c>
      <c r="M38" s="38" t="s">
        <v>55</v>
      </c>
      <c r="N38" s="38" t="s">
        <v>49</v>
      </c>
      <c r="O38" s="38"/>
      <c r="P38" s="38"/>
      <c r="Q38" s="38"/>
      <c r="R38" s="38" t="s">
        <v>49</v>
      </c>
      <c r="S38" s="38" t="s">
        <v>49</v>
      </c>
      <c r="T38" s="38" t="s">
        <v>49</v>
      </c>
      <c r="U38" s="38" t="s">
        <v>45</v>
      </c>
      <c r="V38" s="38"/>
      <c r="W38" s="38"/>
      <c r="X38" s="38"/>
      <c r="Y38" s="38" t="s">
        <v>41</v>
      </c>
      <c r="Z38" s="38" t="s">
        <v>41</v>
      </c>
      <c r="AA38" s="38" t="s">
        <v>55</v>
      </c>
      <c r="AB38" s="38"/>
      <c r="AC38" s="38"/>
      <c r="AD38" s="38" t="s">
        <v>49</v>
      </c>
      <c r="AE38" s="38" t="s">
        <v>49</v>
      </c>
      <c r="AF38" s="38" t="s">
        <v>49</v>
      </c>
      <c r="AG38" s="38" t="s">
        <v>49</v>
      </c>
      <c r="AH38" s="38" t="s">
        <v>49</v>
      </c>
      <c r="AI38" s="8" t="n">
        <f aca="false">COUNTA(D38:AH38)</f>
        <v>21</v>
      </c>
      <c r="AJ38" s="39" t="n">
        <f aca="false">SUMPRODUCT((D38:AH38="Р")*$D$7:$AH$7)+SUMPRODUCT((D38:AH38="С")*$D$8:$AH$8)+SUMPRODUCT((D38:AH38="В")*$D$9:$AH$9)+SUMPRODUCT((D38:AH38="П")*$D$10:$AH$10)</f>
        <v>151.5</v>
      </c>
      <c r="AK38" s="8" t="n">
        <f aca="false">COLUMNS(D38:AH38)-AI38</f>
        <v>10</v>
      </c>
      <c r="AL38" s="8" t="n">
        <f aca="false">SUMPRODUCT((D38:AH38&lt;&gt;"")*(($D$5:$AH$5="Пт")+($D$5:$AH$5="Сб")))</f>
        <v>10</v>
      </c>
      <c r="AM38" s="26" t="n">
        <f aca="false">AJ38-Зміни!$C$19</f>
        <v>-24.5</v>
      </c>
    </row>
    <row r="39" customFormat="false" ht="15" hidden="false" customHeight="false" outlineLevel="0" collapsed="false">
      <c r="A39" s="8" t="n">
        <v>17</v>
      </c>
      <c r="B39" s="7" t="s">
        <v>94</v>
      </c>
      <c r="C39" s="37" t="s">
        <v>159</v>
      </c>
      <c r="D39" s="38"/>
      <c r="E39" s="38"/>
      <c r="F39" s="38" t="s">
        <v>41</v>
      </c>
      <c r="G39" s="38" t="s">
        <v>41</v>
      </c>
      <c r="H39" s="38"/>
      <c r="I39" s="38" t="s">
        <v>41</v>
      </c>
      <c r="J39" s="38" t="s">
        <v>41</v>
      </c>
      <c r="K39" s="38"/>
      <c r="L39" s="38" t="s">
        <v>41</v>
      </c>
      <c r="M39" s="38" t="s">
        <v>41</v>
      </c>
      <c r="N39" s="38" t="s">
        <v>41</v>
      </c>
      <c r="O39" s="38" t="s">
        <v>41</v>
      </c>
      <c r="P39" s="38"/>
      <c r="Q39" s="38"/>
      <c r="R39" s="38" t="s">
        <v>49</v>
      </c>
      <c r="S39" s="38" t="s">
        <v>49</v>
      </c>
      <c r="T39" s="38" t="s">
        <v>49</v>
      </c>
      <c r="U39" s="38" t="s">
        <v>49</v>
      </c>
      <c r="V39" s="38"/>
      <c r="W39" s="38"/>
      <c r="X39" s="38" t="s">
        <v>41</v>
      </c>
      <c r="Y39" s="38" t="s">
        <v>41</v>
      </c>
      <c r="Z39" s="38" t="s">
        <v>55</v>
      </c>
      <c r="AA39" s="38" t="s">
        <v>45</v>
      </c>
      <c r="AB39" s="38" t="s">
        <v>45</v>
      </c>
      <c r="AC39" s="38"/>
      <c r="AD39" s="38"/>
      <c r="AE39" s="38"/>
      <c r="AF39" s="38" t="s">
        <v>49</v>
      </c>
      <c r="AG39" s="38" t="s">
        <v>49</v>
      </c>
      <c r="AH39" s="38" t="s">
        <v>49</v>
      </c>
      <c r="AI39" s="8" t="n">
        <f aca="false">COUNTA(D39:AH39)</f>
        <v>20</v>
      </c>
      <c r="AJ39" s="39" t="n">
        <f aca="false">SUMPRODUCT((D39:AH39="Р")*$D$7:$AH$7)+SUMPRODUCT((D39:AH39="С")*$D$8:$AH$8)+SUMPRODUCT((D39:AH39="В")*$D$9:$AH$9)+SUMPRODUCT((D39:AH39="П")*$D$10:$AH$10)</f>
        <v>149</v>
      </c>
      <c r="AK39" s="8" t="n">
        <f aca="false">COLUMNS(D39:AH39)-AI39</f>
        <v>11</v>
      </c>
      <c r="AL39" s="8" t="n">
        <f aca="false">SUMPRODUCT((D39:AH39&lt;&gt;"")*(($D$5:$AH$5="Пт")+($D$5:$AH$5="Сб")))</f>
        <v>9</v>
      </c>
      <c r="AM39" s="26" t="n">
        <f aca="false">AJ39-Зміни!$C$19</f>
        <v>-27</v>
      </c>
    </row>
    <row r="40" customFormat="false" ht="15" hidden="false" customHeight="false" outlineLevel="0" collapsed="false">
      <c r="A40" s="8" t="n">
        <v>18</v>
      </c>
      <c r="B40" s="7" t="s">
        <v>94</v>
      </c>
      <c r="C40" s="37" t="s">
        <v>160</v>
      </c>
      <c r="D40" s="38"/>
      <c r="E40" s="38" t="s">
        <v>55</v>
      </c>
      <c r="F40" s="38" t="s">
        <v>55</v>
      </c>
      <c r="G40" s="38"/>
      <c r="H40" s="38" t="s">
        <v>49</v>
      </c>
      <c r="I40" s="38"/>
      <c r="J40" s="38" t="s">
        <v>49</v>
      </c>
      <c r="K40" s="38" t="s">
        <v>49</v>
      </c>
      <c r="L40" s="38" t="s">
        <v>49</v>
      </c>
      <c r="M40" s="38" t="s">
        <v>49</v>
      </c>
      <c r="N40" s="38" t="s">
        <v>49</v>
      </c>
      <c r="O40" s="38"/>
      <c r="P40" s="38"/>
      <c r="Q40" s="38" t="s">
        <v>41</v>
      </c>
      <c r="R40" s="38" t="s">
        <v>55</v>
      </c>
      <c r="S40" s="38" t="s">
        <v>55</v>
      </c>
      <c r="T40" s="38" t="s">
        <v>55</v>
      </c>
      <c r="U40" s="38" t="s">
        <v>49</v>
      </c>
      <c r="V40" s="38"/>
      <c r="W40" s="38"/>
      <c r="X40" s="38"/>
      <c r="Y40" s="38" t="s">
        <v>45</v>
      </c>
      <c r="Z40" s="38" t="s">
        <v>49</v>
      </c>
      <c r="AA40" s="38" t="s">
        <v>49</v>
      </c>
      <c r="AB40" s="38" t="s">
        <v>49</v>
      </c>
      <c r="AC40" s="38"/>
      <c r="AD40" s="38"/>
      <c r="AE40" s="38" t="s">
        <v>49</v>
      </c>
      <c r="AF40" s="38" t="s">
        <v>49</v>
      </c>
      <c r="AG40" s="38" t="s">
        <v>49</v>
      </c>
      <c r="AH40" s="38" t="s">
        <v>49</v>
      </c>
      <c r="AI40" s="8" t="n">
        <f aca="false">COUNTA(D40:AH40)</f>
        <v>21</v>
      </c>
      <c r="AJ40" s="39" t="n">
        <f aca="false">SUMPRODUCT((D40:AH40="Р")*$D$7:$AH$7)+SUMPRODUCT((D40:AH40="С")*$D$8:$AH$8)+SUMPRODUCT((D40:AH40="В")*$D$9:$AH$9)+SUMPRODUCT((D40:AH40="П")*$D$10:$AH$10)</f>
        <v>149</v>
      </c>
      <c r="AK40" s="8" t="n">
        <f aca="false">COLUMNS(D40:AH40)-AI40</f>
        <v>10</v>
      </c>
      <c r="AL40" s="8" t="n">
        <f aca="false">SUMPRODUCT((D40:AH40&lt;&gt;"")*(($D$5:$AH$5="Пт")+($D$5:$AH$5="Сб")))</f>
        <v>10</v>
      </c>
      <c r="AM40" s="26" t="n">
        <f aca="false">AJ40-Зміни!$C$19</f>
        <v>-27</v>
      </c>
    </row>
    <row r="41" customFormat="false" ht="15" hidden="false" customHeight="false" outlineLevel="0" collapsed="false">
      <c r="C41" s="35" t="s">
        <v>140</v>
      </c>
      <c r="D41" s="40" t="n">
        <f aca="false">COUNTIF(D$30:D$40,"Р")-INDEX(Норми!$C$12:$I$47,MATCH("Офіціант|Р",Норми!$L$12:$L$47,0),MATCH(D$5,Норми!$C$11:$I$11,0))</f>
        <v>0</v>
      </c>
      <c r="E41" s="40" t="n">
        <f aca="false">COUNTIF(E$30:E$40,"Р")-INDEX(Норми!$C$12:$I$47,MATCH("Офіціант|Р",Норми!$L$12:$L$47,0),MATCH(E$5,Норми!$C$11:$I$11,0))</f>
        <v>0</v>
      </c>
      <c r="F41" s="40" t="n">
        <f aca="false">COUNTIF(F$30:F$40,"Р")-INDEX(Норми!$C$12:$I$47,MATCH("Офіціант|Р",Норми!$L$12:$L$47,0),MATCH(F$5,Норми!$C$11:$I$11,0))</f>
        <v>0</v>
      </c>
      <c r="G41" s="40" t="n">
        <f aca="false">COUNTIF(G$30:G$40,"Р")-INDEX(Норми!$C$12:$I$47,MATCH("Офіціант|Р",Норми!$L$12:$L$47,0),MATCH(G$5,Норми!$C$11:$I$11,0))</f>
        <v>0</v>
      </c>
      <c r="H41" s="40" t="n">
        <f aca="false">COUNTIF(H$30:H$40,"Р")-INDEX(Норми!$C$12:$I$47,MATCH("Офіціант|Р",Норми!$L$12:$L$47,0),MATCH(H$5,Норми!$C$11:$I$11,0))</f>
        <v>0</v>
      </c>
      <c r="I41" s="40" t="n">
        <f aca="false">COUNTIF(I$30:I$40,"Р")-INDEX(Норми!$C$12:$I$47,MATCH("Офіціант|Р",Норми!$L$12:$L$47,0),MATCH(I$5,Норми!$C$11:$I$11,0))</f>
        <v>0</v>
      </c>
      <c r="J41" s="40" t="n">
        <f aca="false">COUNTIF(J$30:J$40,"Р")-INDEX(Норми!$C$12:$I$47,MATCH("Офіціант|Р",Норми!$L$12:$L$47,0),MATCH(J$5,Норми!$C$11:$I$11,0))</f>
        <v>0</v>
      </c>
      <c r="K41" s="40" t="n">
        <f aca="false">COUNTIF(K$30:K$40,"Р")-INDEX(Норми!$C$12:$I$47,MATCH("Офіціант|Р",Норми!$L$12:$L$47,0),MATCH(K$5,Норми!$C$11:$I$11,0))</f>
        <v>0</v>
      </c>
      <c r="L41" s="40" t="n">
        <f aca="false">COUNTIF(L$30:L$40,"Р")-INDEX(Норми!$C$12:$I$47,MATCH("Офіціант|Р",Норми!$L$12:$L$47,0),MATCH(L$5,Норми!$C$11:$I$11,0))</f>
        <v>0</v>
      </c>
      <c r="M41" s="40" t="n">
        <f aca="false">COUNTIF(M$30:M$40,"Р")-INDEX(Норми!$C$12:$I$47,MATCH("Офіціант|Р",Норми!$L$12:$L$47,0),MATCH(M$5,Норми!$C$11:$I$11,0))</f>
        <v>0</v>
      </c>
      <c r="N41" s="40" t="n">
        <f aca="false">COUNTIF(N$30:N$40,"Р")-INDEX(Норми!$C$12:$I$47,MATCH("Офіціант|Р",Норми!$L$12:$L$47,0),MATCH(N$5,Норми!$C$11:$I$11,0))</f>
        <v>0</v>
      </c>
      <c r="O41" s="40" t="n">
        <f aca="false">COUNTIF(O$30:O$40,"Р")-INDEX(Норми!$C$12:$I$47,MATCH("Офіціант|Р",Норми!$L$12:$L$47,0),MATCH(O$5,Норми!$C$11:$I$11,0))</f>
        <v>0</v>
      </c>
      <c r="P41" s="40" t="n">
        <f aca="false">COUNTIF(P$30:P$40,"Р")-INDEX(Норми!$C$12:$I$47,MATCH("Офіціант|Р",Норми!$L$12:$L$47,0),MATCH(P$5,Норми!$C$11:$I$11,0))</f>
        <v>0</v>
      </c>
      <c r="Q41" s="40" t="n">
        <f aca="false">COUNTIF(Q$30:Q$40,"Р")-INDEX(Норми!$C$12:$I$47,MATCH("Офіціант|Р",Норми!$L$12:$L$47,0),MATCH(Q$5,Норми!$C$11:$I$11,0))</f>
        <v>0</v>
      </c>
      <c r="R41" s="40" t="n">
        <f aca="false">COUNTIF(R$30:R$40,"Р")-INDEX(Норми!$C$12:$I$47,MATCH("Офіціант|Р",Норми!$L$12:$L$47,0),MATCH(R$5,Норми!$C$11:$I$11,0))</f>
        <v>0</v>
      </c>
      <c r="S41" s="40" t="n">
        <f aca="false">COUNTIF(S$30:S$40,"Р")-INDEX(Норми!$C$12:$I$47,MATCH("Офіціант|Р",Норми!$L$12:$L$47,0),MATCH(S$5,Норми!$C$11:$I$11,0))</f>
        <v>0</v>
      </c>
      <c r="T41" s="40" t="n">
        <f aca="false">COUNTIF(T$30:T$40,"Р")-INDEX(Норми!$C$12:$I$47,MATCH("Офіціант|Р",Норми!$L$12:$L$47,0),MATCH(T$5,Норми!$C$11:$I$11,0))</f>
        <v>0</v>
      </c>
      <c r="U41" s="40" t="n">
        <f aca="false">COUNTIF(U$30:U$40,"Р")-INDEX(Норми!$C$12:$I$47,MATCH("Офіціант|Р",Норми!$L$12:$L$47,0),MATCH(U$5,Норми!$C$11:$I$11,0))</f>
        <v>0</v>
      </c>
      <c r="V41" s="40" t="n">
        <f aca="false">COUNTIF(V$30:V$40,"Р")-INDEX(Норми!$C$12:$I$47,MATCH("Офіціант|Р",Норми!$L$12:$L$47,0),MATCH(V$5,Норми!$C$11:$I$11,0))</f>
        <v>0</v>
      </c>
      <c r="W41" s="40" t="n">
        <f aca="false">COUNTIF(W$30:W$40,"Р")-INDEX(Норми!$C$12:$I$47,MATCH("Офіціант|Р",Норми!$L$12:$L$47,0),MATCH(W$5,Норми!$C$11:$I$11,0))</f>
        <v>0</v>
      </c>
      <c r="X41" s="40" t="n">
        <f aca="false">COUNTIF(X$30:X$40,"Р")-INDEX(Норми!$C$12:$I$47,MATCH("Офіціант|Р",Норми!$L$12:$L$47,0),MATCH(X$5,Норми!$C$11:$I$11,0))</f>
        <v>0</v>
      </c>
      <c r="Y41" s="40" t="n">
        <f aca="false">COUNTIF(Y$30:Y$40,"Р")-INDEX(Норми!$C$12:$I$47,MATCH("Офіціант|Р",Норми!$L$12:$L$47,0),MATCH(Y$5,Норми!$C$11:$I$11,0))</f>
        <v>0</v>
      </c>
      <c r="Z41" s="40" t="n">
        <f aca="false">COUNTIF(Z$30:Z$40,"Р")-INDEX(Норми!$C$12:$I$47,MATCH("Офіціант|Р",Норми!$L$12:$L$47,0),MATCH(Z$5,Норми!$C$11:$I$11,0))</f>
        <v>0</v>
      </c>
      <c r="AA41" s="40" t="n">
        <f aca="false">COUNTIF(AA$30:AA$40,"Р")-INDEX(Норми!$C$12:$I$47,MATCH("Офіціант|Р",Норми!$L$12:$L$47,0),MATCH(AA$5,Норми!$C$11:$I$11,0))</f>
        <v>0</v>
      </c>
      <c r="AB41" s="40" t="n">
        <f aca="false">COUNTIF(AB$30:AB$40,"Р")-INDEX(Норми!$C$12:$I$47,MATCH("Офіціант|Р",Норми!$L$12:$L$47,0),MATCH(AB$5,Норми!$C$11:$I$11,0))</f>
        <v>0</v>
      </c>
      <c r="AC41" s="40" t="n">
        <f aca="false">COUNTIF(AC$30:AC$40,"Р")-INDEX(Норми!$C$12:$I$47,MATCH("Офіціант|Р",Норми!$L$12:$L$47,0),MATCH(AC$5,Норми!$C$11:$I$11,0))</f>
        <v>0</v>
      </c>
      <c r="AD41" s="40" t="n">
        <f aca="false">COUNTIF(AD$30:AD$40,"Р")-INDEX(Норми!$C$12:$I$47,MATCH("Офіціант|Р",Норми!$L$12:$L$47,0),MATCH(AD$5,Норми!$C$11:$I$11,0))</f>
        <v>0</v>
      </c>
      <c r="AE41" s="40" t="n">
        <f aca="false">COUNTIF(AE$30:AE$40,"Р")-INDEX(Норми!$C$12:$I$47,MATCH("Офіціант|Р",Норми!$L$12:$L$47,0),MATCH(AE$5,Норми!$C$11:$I$11,0))</f>
        <v>0</v>
      </c>
      <c r="AF41" s="40" t="n">
        <f aca="false">COUNTIF(AF$30:AF$40,"Р")-INDEX(Норми!$C$12:$I$47,MATCH("Офіціант|Р",Норми!$L$12:$L$47,0),MATCH(AF$5,Норми!$C$11:$I$11,0))</f>
        <v>0</v>
      </c>
      <c r="AG41" s="40" t="n">
        <f aca="false">COUNTIF(AG$30:AG$40,"Р")-INDEX(Норми!$C$12:$I$47,MATCH("Офіціант|Р",Норми!$L$12:$L$47,0),MATCH(AG$5,Норми!$C$11:$I$11,0))</f>
        <v>0</v>
      </c>
      <c r="AH41" s="40" t="n">
        <f aca="false">COUNTIF(AH$30:AH$40,"Р")-INDEX(Норми!$C$12:$I$47,MATCH("Офіціант|Р",Норми!$L$12:$L$47,0),MATCH(AH$5,Норми!$C$11:$I$11,0))</f>
        <v>0</v>
      </c>
    </row>
    <row r="42" customFormat="false" ht="15" hidden="false" customHeight="false" outlineLevel="0" collapsed="false">
      <c r="C42" s="35" t="s">
        <v>147</v>
      </c>
      <c r="D42" s="40" t="n">
        <f aca="false">COUNTIF(D$30:D$40,"С")-INDEX(Норми!$C$12:$I$47,MATCH("Офіціант|С",Норми!$L$12:$L$47,0),MATCH(D$5,Норми!$C$11:$I$11,0))</f>
        <v>0</v>
      </c>
      <c r="E42" s="40" t="n">
        <f aca="false">COUNTIF(E$30:E$40,"С")-INDEX(Норми!$C$12:$I$47,MATCH("Офіціант|С",Норми!$L$12:$L$47,0),MATCH(E$5,Норми!$C$11:$I$11,0))</f>
        <v>0</v>
      </c>
      <c r="F42" s="40" t="n">
        <f aca="false">COUNTIF(F$30:F$40,"С")-INDEX(Норми!$C$12:$I$47,MATCH("Офіціант|С",Норми!$L$12:$L$47,0),MATCH(F$5,Норми!$C$11:$I$11,0))</f>
        <v>0</v>
      </c>
      <c r="G42" s="40" t="n">
        <f aca="false">COUNTIF(G$30:G$40,"С")-INDEX(Норми!$C$12:$I$47,MATCH("Офіціант|С",Норми!$L$12:$L$47,0),MATCH(G$5,Норми!$C$11:$I$11,0))</f>
        <v>0</v>
      </c>
      <c r="H42" s="40" t="n">
        <f aca="false">COUNTIF(H$30:H$40,"С")-INDEX(Норми!$C$12:$I$47,MATCH("Офіціант|С",Норми!$L$12:$L$47,0),MATCH(H$5,Норми!$C$11:$I$11,0))</f>
        <v>0</v>
      </c>
      <c r="I42" s="40" t="n">
        <f aca="false">COUNTIF(I$30:I$40,"С")-INDEX(Норми!$C$12:$I$47,MATCH("Офіціант|С",Норми!$L$12:$L$47,0),MATCH(I$5,Норми!$C$11:$I$11,0))</f>
        <v>0</v>
      </c>
      <c r="J42" s="40" t="n">
        <f aca="false">COUNTIF(J$30:J$40,"С")-INDEX(Норми!$C$12:$I$47,MATCH("Офіціант|С",Норми!$L$12:$L$47,0),MATCH(J$5,Норми!$C$11:$I$11,0))</f>
        <v>0</v>
      </c>
      <c r="K42" s="40" t="n">
        <f aca="false">COUNTIF(K$30:K$40,"С")-INDEX(Норми!$C$12:$I$47,MATCH("Офіціант|С",Норми!$L$12:$L$47,0),MATCH(K$5,Норми!$C$11:$I$11,0))</f>
        <v>0</v>
      </c>
      <c r="L42" s="40" t="n">
        <f aca="false">COUNTIF(L$30:L$40,"С")-INDEX(Норми!$C$12:$I$47,MATCH("Офіціант|С",Норми!$L$12:$L$47,0),MATCH(L$5,Норми!$C$11:$I$11,0))</f>
        <v>0</v>
      </c>
      <c r="M42" s="40" t="n">
        <f aca="false">COUNTIF(M$30:M$40,"С")-INDEX(Норми!$C$12:$I$47,MATCH("Офіціант|С",Норми!$L$12:$L$47,0),MATCH(M$5,Норми!$C$11:$I$11,0))</f>
        <v>0</v>
      </c>
      <c r="N42" s="40" t="n">
        <f aca="false">COUNTIF(N$30:N$40,"С")-INDEX(Норми!$C$12:$I$47,MATCH("Офіціант|С",Норми!$L$12:$L$47,0),MATCH(N$5,Норми!$C$11:$I$11,0))</f>
        <v>0</v>
      </c>
      <c r="O42" s="40" t="n">
        <f aca="false">COUNTIF(O$30:O$40,"С")-INDEX(Норми!$C$12:$I$47,MATCH("Офіціант|С",Норми!$L$12:$L$47,0),MATCH(O$5,Норми!$C$11:$I$11,0))</f>
        <v>0</v>
      </c>
      <c r="P42" s="40" t="n">
        <f aca="false">COUNTIF(P$30:P$40,"С")-INDEX(Норми!$C$12:$I$47,MATCH("Офіціант|С",Норми!$L$12:$L$47,0),MATCH(P$5,Норми!$C$11:$I$11,0))</f>
        <v>0</v>
      </c>
      <c r="Q42" s="40" t="n">
        <f aca="false">COUNTIF(Q$30:Q$40,"С")-INDEX(Норми!$C$12:$I$47,MATCH("Офіціант|С",Норми!$L$12:$L$47,0),MATCH(Q$5,Норми!$C$11:$I$11,0))</f>
        <v>0</v>
      </c>
      <c r="R42" s="40" t="n">
        <f aca="false">COUNTIF(R$30:R$40,"С")-INDEX(Норми!$C$12:$I$47,MATCH("Офіціант|С",Норми!$L$12:$L$47,0),MATCH(R$5,Норми!$C$11:$I$11,0))</f>
        <v>0</v>
      </c>
      <c r="S42" s="40" t="n">
        <f aca="false">COUNTIF(S$30:S$40,"С")-INDEX(Норми!$C$12:$I$47,MATCH("Офіціант|С",Норми!$L$12:$L$47,0),MATCH(S$5,Норми!$C$11:$I$11,0))</f>
        <v>0</v>
      </c>
      <c r="T42" s="40" t="n">
        <f aca="false">COUNTIF(T$30:T$40,"С")-INDEX(Норми!$C$12:$I$47,MATCH("Офіціант|С",Норми!$L$12:$L$47,0),MATCH(T$5,Норми!$C$11:$I$11,0))</f>
        <v>0</v>
      </c>
      <c r="U42" s="40" t="n">
        <f aca="false">COUNTIF(U$30:U$40,"С")-INDEX(Норми!$C$12:$I$47,MATCH("Офіціант|С",Норми!$L$12:$L$47,0),MATCH(U$5,Норми!$C$11:$I$11,0))</f>
        <v>0</v>
      </c>
      <c r="V42" s="40" t="n">
        <f aca="false">COUNTIF(V$30:V$40,"С")-INDEX(Норми!$C$12:$I$47,MATCH("Офіціант|С",Норми!$L$12:$L$47,0),MATCH(V$5,Норми!$C$11:$I$11,0))</f>
        <v>0</v>
      </c>
      <c r="W42" s="40" t="n">
        <f aca="false">COUNTIF(W$30:W$40,"С")-INDEX(Норми!$C$12:$I$47,MATCH("Офіціант|С",Норми!$L$12:$L$47,0),MATCH(W$5,Норми!$C$11:$I$11,0))</f>
        <v>0</v>
      </c>
      <c r="X42" s="40" t="n">
        <f aca="false">COUNTIF(X$30:X$40,"С")-INDEX(Норми!$C$12:$I$47,MATCH("Офіціант|С",Норми!$L$12:$L$47,0),MATCH(X$5,Норми!$C$11:$I$11,0))</f>
        <v>0</v>
      </c>
      <c r="Y42" s="40" t="n">
        <f aca="false">COUNTIF(Y$30:Y$40,"С")-INDEX(Норми!$C$12:$I$47,MATCH("Офіціант|С",Норми!$L$12:$L$47,0),MATCH(Y$5,Норми!$C$11:$I$11,0))</f>
        <v>0</v>
      </c>
      <c r="Z42" s="40" t="n">
        <f aca="false">COUNTIF(Z$30:Z$40,"С")-INDEX(Норми!$C$12:$I$47,MATCH("Офіціант|С",Норми!$L$12:$L$47,0),MATCH(Z$5,Норми!$C$11:$I$11,0))</f>
        <v>0</v>
      </c>
      <c r="AA42" s="40" t="n">
        <f aca="false">COUNTIF(AA$30:AA$40,"С")-INDEX(Норми!$C$12:$I$47,MATCH("Офіціант|С",Норми!$L$12:$L$47,0),MATCH(AA$5,Норми!$C$11:$I$11,0))</f>
        <v>0</v>
      </c>
      <c r="AB42" s="40" t="n">
        <f aca="false">COUNTIF(AB$30:AB$40,"С")-INDEX(Норми!$C$12:$I$47,MATCH("Офіціант|С",Норми!$L$12:$L$47,0),MATCH(AB$5,Норми!$C$11:$I$11,0))</f>
        <v>0</v>
      </c>
      <c r="AC42" s="40" t="n">
        <f aca="false">COUNTIF(AC$30:AC$40,"С")-INDEX(Норми!$C$12:$I$47,MATCH("Офіціант|С",Норми!$L$12:$L$47,0),MATCH(AC$5,Норми!$C$11:$I$11,0))</f>
        <v>0</v>
      </c>
      <c r="AD42" s="40" t="n">
        <f aca="false">COUNTIF(AD$30:AD$40,"С")-INDEX(Норми!$C$12:$I$47,MATCH("Офіціант|С",Норми!$L$12:$L$47,0),MATCH(AD$5,Норми!$C$11:$I$11,0))</f>
        <v>0</v>
      </c>
      <c r="AE42" s="40" t="n">
        <f aca="false">COUNTIF(AE$30:AE$40,"С")-INDEX(Норми!$C$12:$I$47,MATCH("Офіціант|С",Норми!$L$12:$L$47,0),MATCH(AE$5,Норми!$C$11:$I$11,0))</f>
        <v>0</v>
      </c>
      <c r="AF42" s="40" t="n">
        <f aca="false">COUNTIF(AF$30:AF$40,"С")-INDEX(Норми!$C$12:$I$47,MATCH("Офіціант|С",Норми!$L$12:$L$47,0),MATCH(AF$5,Норми!$C$11:$I$11,0))</f>
        <v>0</v>
      </c>
      <c r="AG42" s="40" t="n">
        <f aca="false">COUNTIF(AG$30:AG$40,"С")-INDEX(Норми!$C$12:$I$47,MATCH("Офіціант|С",Норми!$L$12:$L$47,0),MATCH(AG$5,Норми!$C$11:$I$11,0))</f>
        <v>0</v>
      </c>
      <c r="AH42" s="40" t="n">
        <f aca="false">COUNTIF(AH$30:AH$40,"С")-INDEX(Норми!$C$12:$I$47,MATCH("Офіціант|С",Норми!$L$12:$L$47,0),MATCH(AH$5,Норми!$C$11:$I$11,0))</f>
        <v>0</v>
      </c>
    </row>
    <row r="43" customFormat="false" ht="15" hidden="false" customHeight="false" outlineLevel="0" collapsed="false">
      <c r="C43" s="35" t="s">
        <v>141</v>
      </c>
      <c r="D43" s="40" t="n">
        <f aca="false">COUNTIF(D$30:D$40,"В")-INDEX(Норми!$C$12:$I$47,MATCH("Офіціант|В",Норми!$L$12:$L$47,0),MATCH(D$5,Норми!$C$11:$I$11,0))</f>
        <v>0</v>
      </c>
      <c r="E43" s="40" t="n">
        <f aca="false">COUNTIF(E$30:E$40,"В")-INDEX(Норми!$C$12:$I$47,MATCH("Офіціант|В",Норми!$L$12:$L$47,0),MATCH(E$5,Норми!$C$11:$I$11,0))</f>
        <v>0</v>
      </c>
      <c r="F43" s="40" t="n">
        <f aca="false">COUNTIF(F$30:F$40,"В")-INDEX(Норми!$C$12:$I$47,MATCH("Офіціант|В",Норми!$L$12:$L$47,0),MATCH(F$5,Норми!$C$11:$I$11,0))</f>
        <v>0</v>
      </c>
      <c r="G43" s="40" t="n">
        <f aca="false">COUNTIF(G$30:G$40,"В")-INDEX(Норми!$C$12:$I$47,MATCH("Офіціант|В",Норми!$L$12:$L$47,0),MATCH(G$5,Норми!$C$11:$I$11,0))</f>
        <v>0</v>
      </c>
      <c r="H43" s="40" t="n">
        <f aca="false">COUNTIF(H$30:H$40,"В")-INDEX(Норми!$C$12:$I$47,MATCH("Офіціант|В",Норми!$L$12:$L$47,0),MATCH(H$5,Норми!$C$11:$I$11,0))</f>
        <v>0</v>
      </c>
      <c r="I43" s="40" t="n">
        <f aca="false">COUNTIF(I$30:I$40,"В")-INDEX(Норми!$C$12:$I$47,MATCH("Офіціант|В",Норми!$L$12:$L$47,0),MATCH(I$5,Норми!$C$11:$I$11,0))</f>
        <v>0</v>
      </c>
      <c r="J43" s="40" t="n">
        <f aca="false">COUNTIF(J$30:J$40,"В")-INDEX(Норми!$C$12:$I$47,MATCH("Офіціант|В",Норми!$L$12:$L$47,0),MATCH(J$5,Норми!$C$11:$I$11,0))</f>
        <v>0</v>
      </c>
      <c r="K43" s="40" t="n">
        <f aca="false">COUNTIF(K$30:K$40,"В")-INDEX(Норми!$C$12:$I$47,MATCH("Офіціант|В",Норми!$L$12:$L$47,0),MATCH(K$5,Норми!$C$11:$I$11,0))</f>
        <v>0</v>
      </c>
      <c r="L43" s="40" t="n">
        <f aca="false">COUNTIF(L$30:L$40,"В")-INDEX(Норми!$C$12:$I$47,MATCH("Офіціант|В",Норми!$L$12:$L$47,0),MATCH(L$5,Норми!$C$11:$I$11,0))</f>
        <v>0</v>
      </c>
      <c r="M43" s="40" t="n">
        <f aca="false">COUNTIF(M$30:M$40,"В")-INDEX(Норми!$C$12:$I$47,MATCH("Офіціант|В",Норми!$L$12:$L$47,0),MATCH(M$5,Норми!$C$11:$I$11,0))</f>
        <v>0</v>
      </c>
      <c r="N43" s="40" t="n">
        <f aca="false">COUNTIF(N$30:N$40,"В")-INDEX(Норми!$C$12:$I$47,MATCH("Офіціант|В",Норми!$L$12:$L$47,0),MATCH(N$5,Норми!$C$11:$I$11,0))</f>
        <v>0</v>
      </c>
      <c r="O43" s="40" t="n">
        <f aca="false">COUNTIF(O$30:O$40,"В")-INDEX(Норми!$C$12:$I$47,MATCH("Офіціант|В",Норми!$L$12:$L$47,0),MATCH(O$5,Норми!$C$11:$I$11,0))</f>
        <v>0</v>
      </c>
      <c r="P43" s="40" t="n">
        <f aca="false">COUNTIF(P$30:P$40,"В")-INDEX(Норми!$C$12:$I$47,MATCH("Офіціант|В",Норми!$L$12:$L$47,0),MATCH(P$5,Норми!$C$11:$I$11,0))</f>
        <v>0</v>
      </c>
      <c r="Q43" s="40" t="n">
        <f aca="false">COUNTIF(Q$30:Q$40,"В")-INDEX(Норми!$C$12:$I$47,MATCH("Офіціант|В",Норми!$L$12:$L$47,0),MATCH(Q$5,Норми!$C$11:$I$11,0))</f>
        <v>0</v>
      </c>
      <c r="R43" s="40" t="n">
        <f aca="false">COUNTIF(R$30:R$40,"В")-INDEX(Норми!$C$12:$I$47,MATCH("Офіціант|В",Норми!$L$12:$L$47,0),MATCH(R$5,Норми!$C$11:$I$11,0))</f>
        <v>0</v>
      </c>
      <c r="S43" s="40" t="n">
        <f aca="false">COUNTIF(S$30:S$40,"В")-INDEX(Норми!$C$12:$I$47,MATCH("Офіціант|В",Норми!$L$12:$L$47,0),MATCH(S$5,Норми!$C$11:$I$11,0))</f>
        <v>0</v>
      </c>
      <c r="T43" s="40" t="n">
        <f aca="false">COUNTIF(T$30:T$40,"В")-INDEX(Норми!$C$12:$I$47,MATCH("Офіціант|В",Норми!$L$12:$L$47,0),MATCH(T$5,Норми!$C$11:$I$11,0))</f>
        <v>0</v>
      </c>
      <c r="U43" s="40" t="n">
        <f aca="false">COUNTIF(U$30:U$40,"В")-INDEX(Норми!$C$12:$I$47,MATCH("Офіціант|В",Норми!$L$12:$L$47,0),MATCH(U$5,Норми!$C$11:$I$11,0))</f>
        <v>0</v>
      </c>
      <c r="V43" s="40" t="n">
        <f aca="false">COUNTIF(V$30:V$40,"В")-INDEX(Норми!$C$12:$I$47,MATCH("Офіціант|В",Норми!$L$12:$L$47,0),MATCH(V$5,Норми!$C$11:$I$11,0))</f>
        <v>0</v>
      </c>
      <c r="W43" s="40" t="n">
        <f aca="false">COUNTIF(W$30:W$40,"В")-INDEX(Норми!$C$12:$I$47,MATCH("Офіціант|В",Норми!$L$12:$L$47,0),MATCH(W$5,Норми!$C$11:$I$11,0))</f>
        <v>0</v>
      </c>
      <c r="X43" s="40" t="n">
        <f aca="false">COUNTIF(X$30:X$40,"В")-INDEX(Норми!$C$12:$I$47,MATCH("Офіціант|В",Норми!$L$12:$L$47,0),MATCH(X$5,Норми!$C$11:$I$11,0))</f>
        <v>0</v>
      </c>
      <c r="Y43" s="40" t="n">
        <f aca="false">COUNTIF(Y$30:Y$40,"В")-INDEX(Норми!$C$12:$I$47,MATCH("Офіціант|В",Норми!$L$12:$L$47,0),MATCH(Y$5,Норми!$C$11:$I$11,0))</f>
        <v>0</v>
      </c>
      <c r="Z43" s="40" t="n">
        <f aca="false">COUNTIF(Z$30:Z$40,"В")-INDEX(Норми!$C$12:$I$47,MATCH("Офіціант|В",Норми!$L$12:$L$47,0),MATCH(Z$5,Норми!$C$11:$I$11,0))</f>
        <v>0</v>
      </c>
      <c r="AA43" s="40" t="n">
        <f aca="false">COUNTIF(AA$30:AA$40,"В")-INDEX(Норми!$C$12:$I$47,MATCH("Офіціант|В",Норми!$L$12:$L$47,0),MATCH(AA$5,Норми!$C$11:$I$11,0))</f>
        <v>0</v>
      </c>
      <c r="AB43" s="40" t="n">
        <f aca="false">COUNTIF(AB$30:AB$40,"В")-INDEX(Норми!$C$12:$I$47,MATCH("Офіціант|В",Норми!$L$12:$L$47,0),MATCH(AB$5,Норми!$C$11:$I$11,0))</f>
        <v>0</v>
      </c>
      <c r="AC43" s="40" t="n">
        <f aca="false">COUNTIF(AC$30:AC$40,"В")-INDEX(Норми!$C$12:$I$47,MATCH("Офіціант|В",Норми!$L$12:$L$47,0),MATCH(AC$5,Норми!$C$11:$I$11,0))</f>
        <v>0</v>
      </c>
      <c r="AD43" s="40" t="n">
        <f aca="false">COUNTIF(AD$30:AD$40,"В")-INDEX(Норми!$C$12:$I$47,MATCH("Офіціант|В",Норми!$L$12:$L$47,0),MATCH(AD$5,Норми!$C$11:$I$11,0))</f>
        <v>0</v>
      </c>
      <c r="AE43" s="40" t="n">
        <f aca="false">COUNTIF(AE$30:AE$40,"В")-INDEX(Норми!$C$12:$I$47,MATCH("Офіціант|В",Норми!$L$12:$L$47,0),MATCH(AE$5,Норми!$C$11:$I$11,0))</f>
        <v>0</v>
      </c>
      <c r="AF43" s="40" t="n">
        <f aca="false">COUNTIF(AF$30:AF$40,"В")-INDEX(Норми!$C$12:$I$47,MATCH("Офіціант|В",Норми!$L$12:$L$47,0),MATCH(AF$5,Норми!$C$11:$I$11,0))</f>
        <v>0</v>
      </c>
      <c r="AG43" s="40" t="n">
        <f aca="false">COUNTIF(AG$30:AG$40,"В")-INDEX(Норми!$C$12:$I$47,MATCH("Офіціант|В",Норми!$L$12:$L$47,0),MATCH(AG$5,Норми!$C$11:$I$11,0))</f>
        <v>0</v>
      </c>
      <c r="AH43" s="40" t="n">
        <f aca="false">COUNTIF(AH$30:AH$40,"В")-INDEX(Норми!$C$12:$I$47,MATCH("Офіціант|В",Норми!$L$12:$L$47,0),MATCH(AH$5,Норми!$C$11:$I$11,0))</f>
        <v>0</v>
      </c>
    </row>
    <row r="44" customFormat="false" ht="15" hidden="false" customHeight="false" outlineLevel="0" collapsed="false">
      <c r="C44" s="35" t="s">
        <v>148</v>
      </c>
      <c r="D44" s="40" t="n">
        <f aca="false">COUNTIF(D$30:D$40,"П")-INDEX(Норми!$C$12:$I$47,MATCH("Офіціант|П",Норми!$L$12:$L$47,0),MATCH(D$5,Норми!$C$11:$I$11,0))</f>
        <v>0</v>
      </c>
      <c r="E44" s="40" t="n">
        <f aca="false">COUNTIF(E$30:E$40,"П")-INDEX(Норми!$C$12:$I$47,MATCH("Офіціант|П",Норми!$L$12:$L$47,0),MATCH(E$5,Норми!$C$11:$I$11,0))</f>
        <v>0</v>
      </c>
      <c r="F44" s="40" t="n">
        <f aca="false">COUNTIF(F$30:F$40,"П")-INDEX(Норми!$C$12:$I$47,MATCH("Офіціант|П",Норми!$L$12:$L$47,0),MATCH(F$5,Норми!$C$11:$I$11,0))</f>
        <v>0</v>
      </c>
      <c r="G44" s="40" t="n">
        <f aca="false">COUNTIF(G$30:G$40,"П")-INDEX(Норми!$C$12:$I$47,MATCH("Офіціант|П",Норми!$L$12:$L$47,0),MATCH(G$5,Норми!$C$11:$I$11,0))</f>
        <v>0</v>
      </c>
      <c r="H44" s="40" t="n">
        <f aca="false">COUNTIF(H$30:H$40,"П")-INDEX(Норми!$C$12:$I$47,MATCH("Офіціант|П",Норми!$L$12:$L$47,0),MATCH(H$5,Норми!$C$11:$I$11,0))</f>
        <v>0</v>
      </c>
      <c r="I44" s="40" t="n">
        <f aca="false">COUNTIF(I$30:I$40,"П")-INDEX(Норми!$C$12:$I$47,MATCH("Офіціант|П",Норми!$L$12:$L$47,0),MATCH(I$5,Норми!$C$11:$I$11,0))</f>
        <v>0</v>
      </c>
      <c r="J44" s="40" t="n">
        <f aca="false">COUNTIF(J$30:J$40,"П")-INDEX(Норми!$C$12:$I$47,MATCH("Офіціант|П",Норми!$L$12:$L$47,0),MATCH(J$5,Норми!$C$11:$I$11,0))</f>
        <v>0</v>
      </c>
      <c r="K44" s="40" t="n">
        <f aca="false">COUNTIF(K$30:K$40,"П")-INDEX(Норми!$C$12:$I$47,MATCH("Офіціант|П",Норми!$L$12:$L$47,0),MATCH(K$5,Норми!$C$11:$I$11,0))</f>
        <v>0</v>
      </c>
      <c r="L44" s="40" t="n">
        <f aca="false">COUNTIF(L$30:L$40,"П")-INDEX(Норми!$C$12:$I$47,MATCH("Офіціант|П",Норми!$L$12:$L$47,0),MATCH(L$5,Норми!$C$11:$I$11,0))</f>
        <v>0</v>
      </c>
      <c r="M44" s="40" t="n">
        <f aca="false">COUNTIF(M$30:M$40,"П")-INDEX(Норми!$C$12:$I$47,MATCH("Офіціант|П",Норми!$L$12:$L$47,0),MATCH(M$5,Норми!$C$11:$I$11,0))</f>
        <v>0</v>
      </c>
      <c r="N44" s="40" t="n">
        <f aca="false">COUNTIF(N$30:N$40,"П")-INDEX(Норми!$C$12:$I$47,MATCH("Офіціант|П",Норми!$L$12:$L$47,0),MATCH(N$5,Норми!$C$11:$I$11,0))</f>
        <v>0</v>
      </c>
      <c r="O44" s="40" t="n">
        <f aca="false">COUNTIF(O$30:O$40,"П")-INDEX(Норми!$C$12:$I$47,MATCH("Офіціант|П",Норми!$L$12:$L$47,0),MATCH(O$5,Норми!$C$11:$I$11,0))</f>
        <v>0</v>
      </c>
      <c r="P44" s="40" t="n">
        <f aca="false">COUNTIF(P$30:P$40,"П")-INDEX(Норми!$C$12:$I$47,MATCH("Офіціант|П",Норми!$L$12:$L$47,0),MATCH(P$5,Норми!$C$11:$I$11,0))</f>
        <v>0</v>
      </c>
      <c r="Q44" s="40" t="n">
        <f aca="false">COUNTIF(Q$30:Q$40,"П")-INDEX(Норми!$C$12:$I$47,MATCH("Офіціант|П",Норми!$L$12:$L$47,0),MATCH(Q$5,Норми!$C$11:$I$11,0))</f>
        <v>0</v>
      </c>
      <c r="R44" s="40" t="n">
        <f aca="false">COUNTIF(R$30:R$40,"П")-INDEX(Норми!$C$12:$I$47,MATCH("Офіціант|П",Норми!$L$12:$L$47,0),MATCH(R$5,Норми!$C$11:$I$11,0))</f>
        <v>0</v>
      </c>
      <c r="S44" s="40" t="n">
        <f aca="false">COUNTIF(S$30:S$40,"П")-INDEX(Норми!$C$12:$I$47,MATCH("Офіціант|П",Норми!$L$12:$L$47,0),MATCH(S$5,Норми!$C$11:$I$11,0))</f>
        <v>0</v>
      </c>
      <c r="T44" s="40" t="n">
        <f aca="false">COUNTIF(T$30:T$40,"П")-INDEX(Норми!$C$12:$I$47,MATCH("Офіціант|П",Норми!$L$12:$L$47,0),MATCH(T$5,Норми!$C$11:$I$11,0))</f>
        <v>0</v>
      </c>
      <c r="U44" s="40" t="n">
        <f aca="false">COUNTIF(U$30:U$40,"П")-INDEX(Норми!$C$12:$I$47,MATCH("Офіціант|П",Норми!$L$12:$L$47,0),MATCH(U$5,Норми!$C$11:$I$11,0))</f>
        <v>0</v>
      </c>
      <c r="V44" s="40" t="n">
        <f aca="false">COUNTIF(V$30:V$40,"П")-INDEX(Норми!$C$12:$I$47,MATCH("Офіціант|П",Норми!$L$12:$L$47,0),MATCH(V$5,Норми!$C$11:$I$11,0))</f>
        <v>0</v>
      </c>
      <c r="W44" s="40" t="n">
        <f aca="false">COUNTIF(W$30:W$40,"П")-INDEX(Норми!$C$12:$I$47,MATCH("Офіціант|П",Норми!$L$12:$L$47,0),MATCH(W$5,Норми!$C$11:$I$11,0))</f>
        <v>0</v>
      </c>
      <c r="X44" s="40" t="n">
        <f aca="false">COUNTIF(X$30:X$40,"П")-INDEX(Норми!$C$12:$I$47,MATCH("Офіціант|П",Норми!$L$12:$L$47,0),MATCH(X$5,Норми!$C$11:$I$11,0))</f>
        <v>0</v>
      </c>
      <c r="Y44" s="40" t="n">
        <f aca="false">COUNTIF(Y$30:Y$40,"П")-INDEX(Норми!$C$12:$I$47,MATCH("Офіціант|П",Норми!$L$12:$L$47,0),MATCH(Y$5,Норми!$C$11:$I$11,0))</f>
        <v>0</v>
      </c>
      <c r="Z44" s="40" t="n">
        <f aca="false">COUNTIF(Z$30:Z$40,"П")-INDEX(Норми!$C$12:$I$47,MATCH("Офіціант|П",Норми!$L$12:$L$47,0),MATCH(Z$5,Норми!$C$11:$I$11,0))</f>
        <v>0</v>
      </c>
      <c r="AA44" s="40" t="n">
        <f aca="false">COUNTIF(AA$30:AA$40,"П")-INDEX(Норми!$C$12:$I$47,MATCH("Офіціант|П",Норми!$L$12:$L$47,0),MATCH(AA$5,Норми!$C$11:$I$11,0))</f>
        <v>0</v>
      </c>
      <c r="AB44" s="40" t="n">
        <f aca="false">COUNTIF(AB$30:AB$40,"П")-INDEX(Норми!$C$12:$I$47,MATCH("Офіціант|П",Норми!$L$12:$L$47,0),MATCH(AB$5,Норми!$C$11:$I$11,0))</f>
        <v>0</v>
      </c>
      <c r="AC44" s="40" t="n">
        <f aca="false">COUNTIF(AC$30:AC$40,"П")-INDEX(Норми!$C$12:$I$47,MATCH("Офіціант|П",Норми!$L$12:$L$47,0),MATCH(AC$5,Норми!$C$11:$I$11,0))</f>
        <v>0</v>
      </c>
      <c r="AD44" s="40" t="n">
        <f aca="false">COUNTIF(AD$30:AD$40,"П")-INDEX(Норми!$C$12:$I$47,MATCH("Офіціант|П",Норми!$L$12:$L$47,0),MATCH(AD$5,Норми!$C$11:$I$11,0))</f>
        <v>0</v>
      </c>
      <c r="AE44" s="40" t="n">
        <f aca="false">COUNTIF(AE$30:AE$40,"П")-INDEX(Норми!$C$12:$I$47,MATCH("Офіціант|П",Норми!$L$12:$L$47,0),MATCH(AE$5,Норми!$C$11:$I$11,0))</f>
        <v>0</v>
      </c>
      <c r="AF44" s="40" t="n">
        <f aca="false">COUNTIF(AF$30:AF$40,"П")-INDEX(Норми!$C$12:$I$47,MATCH("Офіціант|П",Норми!$L$12:$L$47,0),MATCH(AF$5,Норми!$C$11:$I$11,0))</f>
        <v>0</v>
      </c>
      <c r="AG44" s="40" t="n">
        <f aca="false">COUNTIF(AG$30:AG$40,"П")-INDEX(Норми!$C$12:$I$47,MATCH("Офіціант|П",Норми!$L$12:$L$47,0),MATCH(AG$5,Норми!$C$11:$I$11,0))</f>
        <v>0</v>
      </c>
      <c r="AH44" s="40" t="n">
        <f aca="false">COUNTIF(AH$30:AH$40,"П")-INDEX(Норми!$C$12:$I$47,MATCH("Офіціант|П",Норми!$L$12:$L$47,0),MATCH(AH$5,Норми!$C$11:$I$11,0))</f>
        <v>0</v>
      </c>
    </row>
    <row r="46" customFormat="false" ht="15" hidden="false" customHeight="false" outlineLevel="0" collapsed="false">
      <c r="A46" s="21" t="s">
        <v>161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</row>
    <row r="47" customFormat="false" ht="15" hidden="false" customHeight="false" outlineLevel="0" collapsed="false">
      <c r="A47" s="8" t="n">
        <v>19</v>
      </c>
      <c r="B47" s="7" t="s">
        <v>95</v>
      </c>
      <c r="C47" s="37" t="s">
        <v>162</v>
      </c>
      <c r="D47" s="38" t="s">
        <v>49</v>
      </c>
      <c r="E47" s="38" t="s">
        <v>55</v>
      </c>
      <c r="F47" s="38" t="s">
        <v>55</v>
      </c>
      <c r="G47" s="38"/>
      <c r="H47" s="38" t="s">
        <v>41</v>
      </c>
      <c r="I47" s="38"/>
      <c r="J47" s="38"/>
      <c r="K47" s="38"/>
      <c r="L47" s="38" t="s">
        <v>41</v>
      </c>
      <c r="M47" s="38" t="s">
        <v>41</v>
      </c>
      <c r="N47" s="38" t="s">
        <v>41</v>
      </c>
      <c r="O47" s="38"/>
      <c r="P47" s="38"/>
      <c r="Q47" s="38"/>
      <c r="R47" s="38" t="s">
        <v>49</v>
      </c>
      <c r="S47" s="38"/>
      <c r="T47" s="38" t="s">
        <v>41</v>
      </c>
      <c r="U47" s="38" t="s">
        <v>41</v>
      </c>
      <c r="V47" s="38"/>
      <c r="W47" s="38"/>
      <c r="X47" s="38" t="s">
        <v>49</v>
      </c>
      <c r="Y47" s="38" t="s">
        <v>49</v>
      </c>
      <c r="Z47" s="38" t="s">
        <v>49</v>
      </c>
      <c r="AA47" s="38" t="s">
        <v>55</v>
      </c>
      <c r="AB47" s="38" t="s">
        <v>49</v>
      </c>
      <c r="AC47" s="38"/>
      <c r="AD47" s="38"/>
      <c r="AE47" s="38" t="s">
        <v>49</v>
      </c>
      <c r="AF47" s="38" t="s">
        <v>49</v>
      </c>
      <c r="AG47" s="38" t="s">
        <v>49</v>
      </c>
      <c r="AH47" s="38" t="s">
        <v>55</v>
      </c>
      <c r="AI47" s="8" t="n">
        <f aca="false">COUNTA(D47:AH47)</f>
        <v>19</v>
      </c>
      <c r="AJ47" s="39" t="n">
        <f aca="false">SUMPRODUCT((D47:AH47="Р")*$D$7:$AH$7)+SUMPRODUCT((D47:AH47="С")*$D$8:$AH$8)+SUMPRODUCT((D47:AH47="В")*$D$9:$AH$9)+SUMPRODUCT((D47:AH47="П")*$D$10:$AH$10)</f>
        <v>136</v>
      </c>
      <c r="AK47" s="8" t="n">
        <f aca="false">COLUMNS(D47:AH47)-AI47</f>
        <v>12</v>
      </c>
      <c r="AL47" s="8" t="n">
        <f aca="false">SUMPRODUCT((D47:AH47&lt;&gt;"")*(($D$5:$AH$5="Пт")+($D$5:$AH$5="Сб")))</f>
        <v>9</v>
      </c>
      <c r="AM47" s="26" t="n">
        <f aca="false">AJ47-Зміни!$C$19</f>
        <v>-40</v>
      </c>
    </row>
    <row r="48" customFormat="false" ht="15" hidden="false" customHeight="false" outlineLevel="0" collapsed="false">
      <c r="A48" s="8" t="n">
        <v>20</v>
      </c>
      <c r="B48" s="7" t="s">
        <v>95</v>
      </c>
      <c r="C48" s="37" t="s">
        <v>163</v>
      </c>
      <c r="D48" s="38" t="s">
        <v>49</v>
      </c>
      <c r="E48" s="38" t="s">
        <v>45</v>
      </c>
      <c r="F48" s="38" t="s">
        <v>49</v>
      </c>
      <c r="G48" s="38"/>
      <c r="H48" s="38"/>
      <c r="I48" s="38" t="s">
        <v>41</v>
      </c>
      <c r="J48" s="38" t="s">
        <v>41</v>
      </c>
      <c r="K48" s="38"/>
      <c r="L48" s="38"/>
      <c r="M48" s="38" t="s">
        <v>41</v>
      </c>
      <c r="N48" s="38" t="s">
        <v>41</v>
      </c>
      <c r="O48" s="38" t="s">
        <v>41</v>
      </c>
      <c r="P48" s="38"/>
      <c r="Q48" s="38"/>
      <c r="R48" s="38"/>
      <c r="S48" s="38" t="s">
        <v>41</v>
      </c>
      <c r="T48" s="38" t="s">
        <v>41</v>
      </c>
      <c r="U48" s="38" t="s">
        <v>41</v>
      </c>
      <c r="V48" s="38" t="s">
        <v>41</v>
      </c>
      <c r="W48" s="38" t="s">
        <v>41</v>
      </c>
      <c r="X48" s="38"/>
      <c r="Y48" s="38"/>
      <c r="Z48" s="38" t="s">
        <v>55</v>
      </c>
      <c r="AA48" s="38" t="s">
        <v>45</v>
      </c>
      <c r="AB48" s="38"/>
      <c r="AC48" s="38"/>
      <c r="AD48" s="38" t="s">
        <v>41</v>
      </c>
      <c r="AE48" s="38"/>
      <c r="AF48" s="38"/>
      <c r="AG48" s="38" t="s">
        <v>41</v>
      </c>
      <c r="AH48" s="38" t="s">
        <v>41</v>
      </c>
      <c r="AI48" s="8" t="n">
        <f aca="false">COUNTA(D48:AH48)</f>
        <v>18</v>
      </c>
      <c r="AJ48" s="39" t="n">
        <f aca="false">SUMPRODUCT((D48:AH48="Р")*$D$7:$AH$7)+SUMPRODUCT((D48:AH48="С")*$D$8:$AH$8)+SUMPRODUCT((D48:AH48="В")*$D$9:$AH$9)+SUMPRODUCT((D48:AH48="П")*$D$10:$AH$10)</f>
        <v>134.5</v>
      </c>
      <c r="AK48" s="8" t="n">
        <f aca="false">COLUMNS(D48:AH48)-AI48</f>
        <v>13</v>
      </c>
      <c r="AL48" s="8" t="n">
        <f aca="false">SUMPRODUCT((D48:AH48&lt;&gt;"")*(($D$5:$AH$5="Пт")+($D$5:$AH$5="Сб")))</f>
        <v>9</v>
      </c>
      <c r="AM48" s="26" t="n">
        <f aca="false">AJ48-Зміни!$C$19</f>
        <v>-41.5</v>
      </c>
    </row>
    <row r="49" customFormat="false" ht="15" hidden="false" customHeight="false" outlineLevel="0" collapsed="false">
      <c r="A49" s="8" t="n">
        <v>21</v>
      </c>
      <c r="B49" s="7" t="s">
        <v>95</v>
      </c>
      <c r="C49" s="37" t="s">
        <v>164</v>
      </c>
      <c r="D49" s="38"/>
      <c r="E49" s="38"/>
      <c r="F49" s="38" t="s">
        <v>41</v>
      </c>
      <c r="G49" s="38" t="s">
        <v>41</v>
      </c>
      <c r="H49" s="38" t="s">
        <v>49</v>
      </c>
      <c r="I49" s="38" t="s">
        <v>49</v>
      </c>
      <c r="J49" s="38" t="s">
        <v>49</v>
      </c>
      <c r="K49" s="38"/>
      <c r="L49" s="38" t="s">
        <v>45</v>
      </c>
      <c r="M49" s="38" t="s">
        <v>45</v>
      </c>
      <c r="N49" s="38"/>
      <c r="O49" s="38" t="s">
        <v>49</v>
      </c>
      <c r="P49" s="38"/>
      <c r="Q49" s="38"/>
      <c r="R49" s="38"/>
      <c r="S49" s="38" t="s">
        <v>45</v>
      </c>
      <c r="T49" s="38" t="s">
        <v>45</v>
      </c>
      <c r="U49" s="38" t="s">
        <v>49</v>
      </c>
      <c r="V49" s="38"/>
      <c r="W49" s="38" t="s">
        <v>49</v>
      </c>
      <c r="X49" s="38"/>
      <c r="Y49" s="38"/>
      <c r="Z49" s="38" t="s">
        <v>45</v>
      </c>
      <c r="AA49" s="38" t="s">
        <v>49</v>
      </c>
      <c r="AB49" s="38"/>
      <c r="AC49" s="38" t="s">
        <v>49</v>
      </c>
      <c r="AD49" s="38" t="s">
        <v>49</v>
      </c>
      <c r="AE49" s="38"/>
      <c r="AF49" s="38"/>
      <c r="AG49" s="38" t="s">
        <v>55</v>
      </c>
      <c r="AH49" s="38" t="s">
        <v>45</v>
      </c>
      <c r="AI49" s="8" t="n">
        <f aca="false">COUNTA(D49:AH49)</f>
        <v>18</v>
      </c>
      <c r="AJ49" s="39" t="n">
        <f aca="false">SUMPRODUCT((D49:AH49="Р")*$D$7:$AH$7)+SUMPRODUCT((D49:AH49="С")*$D$8:$AH$8)+SUMPRODUCT((D49:AH49="В")*$D$9:$AH$9)+SUMPRODUCT((D49:AH49="П")*$D$10:$AH$10)</f>
        <v>136</v>
      </c>
      <c r="AK49" s="8" t="n">
        <f aca="false">COLUMNS(D49:AH49)-AI49</f>
        <v>13</v>
      </c>
      <c r="AL49" s="8" t="n">
        <f aca="false">SUMPRODUCT((D49:AH49&lt;&gt;"")*(($D$5:$AH$5="Пт")+($D$5:$AH$5="Сб")))</f>
        <v>9</v>
      </c>
      <c r="AM49" s="26" t="n">
        <f aca="false">AJ49-Зміни!$C$19</f>
        <v>-40</v>
      </c>
    </row>
    <row r="50" customFormat="false" ht="15" hidden="false" customHeight="false" outlineLevel="0" collapsed="false">
      <c r="A50" s="8" t="n">
        <v>22</v>
      </c>
      <c r="B50" s="7" t="s">
        <v>95</v>
      </c>
      <c r="C50" s="37" t="s">
        <v>165</v>
      </c>
      <c r="D50" s="38"/>
      <c r="E50" s="38" t="s">
        <v>49</v>
      </c>
      <c r="F50" s="38" t="s">
        <v>45</v>
      </c>
      <c r="G50" s="38" t="s">
        <v>45</v>
      </c>
      <c r="H50" s="38"/>
      <c r="I50" s="38"/>
      <c r="J50" s="38"/>
      <c r="K50" s="38" t="s">
        <v>49</v>
      </c>
      <c r="L50" s="38" t="s">
        <v>49</v>
      </c>
      <c r="M50" s="38" t="s">
        <v>49</v>
      </c>
      <c r="N50" s="38" t="s">
        <v>45</v>
      </c>
      <c r="O50" s="38"/>
      <c r="P50" s="38"/>
      <c r="Q50" s="38" t="s">
        <v>49</v>
      </c>
      <c r="R50" s="38" t="s">
        <v>49</v>
      </c>
      <c r="S50" s="38" t="s">
        <v>49</v>
      </c>
      <c r="T50" s="38" t="s">
        <v>49</v>
      </c>
      <c r="U50" s="38"/>
      <c r="V50" s="38" t="s">
        <v>49</v>
      </c>
      <c r="W50" s="38"/>
      <c r="X50" s="38"/>
      <c r="Y50" s="38" t="s">
        <v>49</v>
      </c>
      <c r="Z50" s="38" t="s">
        <v>49</v>
      </c>
      <c r="AA50" s="38" t="s">
        <v>49</v>
      </c>
      <c r="AB50" s="38" t="s">
        <v>45</v>
      </c>
      <c r="AC50" s="38"/>
      <c r="AD50" s="38"/>
      <c r="AE50" s="38" t="s">
        <v>41</v>
      </c>
      <c r="AF50" s="38"/>
      <c r="AG50" s="38"/>
      <c r="AH50" s="38" t="s">
        <v>41</v>
      </c>
      <c r="AI50" s="8" t="n">
        <f aca="false">COUNTA(D50:AH50)</f>
        <v>18</v>
      </c>
      <c r="AJ50" s="39" t="n">
        <f aca="false">SUMPRODUCT((D50:AH50="Р")*$D$7:$AH$7)+SUMPRODUCT((D50:AH50="С")*$D$8:$AH$8)+SUMPRODUCT((D50:AH50="В")*$D$9:$AH$9)+SUMPRODUCT((D50:AH50="П")*$D$10:$AH$10)</f>
        <v>137</v>
      </c>
      <c r="AK50" s="8" t="n">
        <f aca="false">COLUMNS(D50:AH50)-AI50</f>
        <v>13</v>
      </c>
      <c r="AL50" s="8" t="n">
        <f aca="false">SUMPRODUCT((D50:AH50&lt;&gt;"")*(($D$5:$AH$5="Пт")+($D$5:$AH$5="Сб")))</f>
        <v>9</v>
      </c>
      <c r="AM50" s="26" t="n">
        <f aca="false">AJ50-Зміни!$C$19</f>
        <v>-39</v>
      </c>
    </row>
    <row r="51" customFormat="false" ht="15" hidden="false" customHeight="false" outlineLevel="0" collapsed="false">
      <c r="A51" s="8" t="n">
        <v>23</v>
      </c>
      <c r="B51" s="7" t="s">
        <v>95</v>
      </c>
      <c r="C51" s="37" t="s">
        <v>166</v>
      </c>
      <c r="D51" s="38"/>
      <c r="E51" s="38" t="s">
        <v>41</v>
      </c>
      <c r="F51" s="38" t="s">
        <v>41</v>
      </c>
      <c r="G51" s="38" t="s">
        <v>41</v>
      </c>
      <c r="H51" s="38"/>
      <c r="I51" s="38"/>
      <c r="J51" s="38"/>
      <c r="K51" s="38" t="s">
        <v>41</v>
      </c>
      <c r="L51" s="38" t="s">
        <v>49</v>
      </c>
      <c r="M51" s="38" t="s">
        <v>49</v>
      </c>
      <c r="N51" s="38"/>
      <c r="O51" s="38"/>
      <c r="P51" s="38" t="s">
        <v>49</v>
      </c>
      <c r="Q51" s="38"/>
      <c r="R51" s="38"/>
      <c r="S51" s="38" t="s">
        <v>49</v>
      </c>
      <c r="T51" s="38" t="s">
        <v>49</v>
      </c>
      <c r="U51" s="38" t="s">
        <v>45</v>
      </c>
      <c r="V51" s="38"/>
      <c r="W51" s="38"/>
      <c r="X51" s="38" t="s">
        <v>41</v>
      </c>
      <c r="Y51" s="38" t="s">
        <v>41</v>
      </c>
      <c r="Z51" s="38" t="s">
        <v>41</v>
      </c>
      <c r="AA51" s="38" t="s">
        <v>41</v>
      </c>
      <c r="AB51" s="38" t="s">
        <v>41</v>
      </c>
      <c r="AC51" s="38"/>
      <c r="AD51" s="38"/>
      <c r="AE51" s="38"/>
      <c r="AF51" s="38" t="s">
        <v>49</v>
      </c>
      <c r="AG51" s="38" t="s">
        <v>49</v>
      </c>
      <c r="AH51" s="38" t="s">
        <v>49</v>
      </c>
      <c r="AI51" s="8" t="n">
        <f aca="false">COUNTA(D51:AH51)</f>
        <v>18</v>
      </c>
      <c r="AJ51" s="39" t="n">
        <f aca="false">SUMPRODUCT((D51:AH51="Р")*$D$7:$AH$7)+SUMPRODUCT((D51:AH51="С")*$D$8:$AH$8)+SUMPRODUCT((D51:AH51="В")*$D$9:$AH$9)+SUMPRODUCT((D51:AH51="П")*$D$10:$AH$10)</f>
        <v>135.5</v>
      </c>
      <c r="AK51" s="8" t="n">
        <f aca="false">COLUMNS(D51:AH51)-AI51</f>
        <v>13</v>
      </c>
      <c r="AL51" s="8" t="n">
        <f aca="false">SUMPRODUCT((D51:AH51&lt;&gt;"")*(($D$5:$AH$5="Пт")+($D$5:$AH$5="Сб")))</f>
        <v>10</v>
      </c>
      <c r="AM51" s="26" t="n">
        <f aca="false">AJ51-Зміни!$C$19</f>
        <v>-40.5</v>
      </c>
    </row>
    <row r="52" customFormat="false" ht="15" hidden="false" customHeight="false" outlineLevel="0" collapsed="false">
      <c r="A52" s="8" t="n">
        <v>24</v>
      </c>
      <c r="B52" s="7" t="s">
        <v>95</v>
      </c>
      <c r="C52" s="37" t="s">
        <v>167</v>
      </c>
      <c r="D52" s="38" t="s">
        <v>41</v>
      </c>
      <c r="E52" s="38" t="s">
        <v>49</v>
      </c>
      <c r="F52" s="38" t="s">
        <v>49</v>
      </c>
      <c r="G52" s="38" t="s">
        <v>49</v>
      </c>
      <c r="H52" s="38"/>
      <c r="I52" s="38"/>
      <c r="J52" s="38"/>
      <c r="K52" s="38" t="s">
        <v>49</v>
      </c>
      <c r="L52" s="38" t="s">
        <v>55</v>
      </c>
      <c r="M52" s="38" t="s">
        <v>55</v>
      </c>
      <c r="N52" s="38" t="s">
        <v>49</v>
      </c>
      <c r="O52" s="38"/>
      <c r="P52" s="38" t="s">
        <v>41</v>
      </c>
      <c r="Q52" s="38" t="s">
        <v>41</v>
      </c>
      <c r="R52" s="38" t="s">
        <v>41</v>
      </c>
      <c r="S52" s="38" t="s">
        <v>55</v>
      </c>
      <c r="T52" s="38" t="s">
        <v>55</v>
      </c>
      <c r="U52" s="38"/>
      <c r="V52" s="38"/>
      <c r="W52" s="38"/>
      <c r="X52" s="38"/>
      <c r="Y52" s="38"/>
      <c r="Z52" s="38"/>
      <c r="AA52" s="38" t="s">
        <v>41</v>
      </c>
      <c r="AB52" s="38" t="s">
        <v>41</v>
      </c>
      <c r="AC52" s="38" t="s">
        <v>41</v>
      </c>
      <c r="AD52" s="38"/>
      <c r="AE52" s="38"/>
      <c r="AF52" s="38" t="s">
        <v>41</v>
      </c>
      <c r="AG52" s="38" t="s">
        <v>45</v>
      </c>
      <c r="AH52" s="38" t="s">
        <v>49</v>
      </c>
      <c r="AI52" s="8" t="n">
        <f aca="false">COUNTA(D52:AH52)</f>
        <v>19</v>
      </c>
      <c r="AJ52" s="39" t="n">
        <f aca="false">SUMPRODUCT((D52:AH52="Р")*$D$7:$AH$7)+SUMPRODUCT((D52:AH52="С")*$D$8:$AH$8)+SUMPRODUCT((D52:AH52="В")*$D$9:$AH$9)+SUMPRODUCT((D52:AH52="П")*$D$10:$AH$10)</f>
        <v>136</v>
      </c>
      <c r="AK52" s="8" t="n">
        <f aca="false">COLUMNS(D52:AH52)-AI52</f>
        <v>12</v>
      </c>
      <c r="AL52" s="8" t="n">
        <f aca="false">SUMPRODUCT((D52:AH52&lt;&gt;"")*(($D$5:$AH$5="Пт")+($D$5:$AH$5="Сб")))</f>
        <v>9</v>
      </c>
      <c r="AM52" s="26" t="n">
        <f aca="false">AJ52-Зміни!$C$19</f>
        <v>-40</v>
      </c>
    </row>
    <row r="53" customFormat="false" ht="15" hidden="false" customHeight="false" outlineLevel="0" collapsed="false">
      <c r="C53" s="35" t="s">
        <v>140</v>
      </c>
      <c r="D53" s="40" t="n">
        <f aca="false">COUNTIF(D$47:D$52,"Р")-INDEX(Норми!$C$12:$I$47,MATCH("Ранер|Р",Норми!$L$12:$L$47,0),MATCH(D$5,Норми!$C$11:$I$11,0))</f>
        <v>0</v>
      </c>
      <c r="E53" s="40" t="n">
        <f aca="false">COUNTIF(E$47:E$52,"Р")-INDEX(Норми!$C$12:$I$47,MATCH("Ранер|Р",Норми!$L$12:$L$47,0),MATCH(E$5,Норми!$C$11:$I$11,0))</f>
        <v>0</v>
      </c>
      <c r="F53" s="40" t="n">
        <f aca="false">COUNTIF(F$47:F$52,"Р")-INDEX(Норми!$C$12:$I$47,MATCH("Ранер|Р",Норми!$L$12:$L$47,0),MATCH(F$5,Норми!$C$11:$I$11,0))</f>
        <v>0</v>
      </c>
      <c r="G53" s="40" t="n">
        <f aca="false">COUNTIF(G$47:G$52,"Р")-INDEX(Норми!$C$12:$I$47,MATCH("Ранер|Р",Норми!$L$12:$L$47,0),MATCH(G$5,Норми!$C$11:$I$11,0))</f>
        <v>0</v>
      </c>
      <c r="H53" s="40" t="n">
        <f aca="false">COUNTIF(H$47:H$52,"Р")-INDEX(Норми!$C$12:$I$47,MATCH("Ранер|Р",Норми!$L$12:$L$47,0),MATCH(H$5,Норми!$C$11:$I$11,0))</f>
        <v>0</v>
      </c>
      <c r="I53" s="40" t="n">
        <f aca="false">COUNTIF(I$47:I$52,"Р")-INDEX(Норми!$C$12:$I$47,MATCH("Ранер|Р",Норми!$L$12:$L$47,0),MATCH(I$5,Норми!$C$11:$I$11,0))</f>
        <v>0</v>
      </c>
      <c r="J53" s="40" t="n">
        <f aca="false">COUNTIF(J$47:J$52,"Р")-INDEX(Норми!$C$12:$I$47,MATCH("Ранер|Р",Норми!$L$12:$L$47,0),MATCH(J$5,Норми!$C$11:$I$11,0))</f>
        <v>0</v>
      </c>
      <c r="K53" s="40" t="n">
        <f aca="false">COUNTIF(K$47:K$52,"Р")-INDEX(Норми!$C$12:$I$47,MATCH("Ранер|Р",Норми!$L$12:$L$47,0),MATCH(K$5,Норми!$C$11:$I$11,0))</f>
        <v>0</v>
      </c>
      <c r="L53" s="40" t="n">
        <f aca="false">COUNTIF(L$47:L$52,"Р")-INDEX(Норми!$C$12:$I$47,MATCH("Ранер|Р",Норми!$L$12:$L$47,0),MATCH(L$5,Норми!$C$11:$I$11,0))</f>
        <v>0</v>
      </c>
      <c r="M53" s="40" t="n">
        <f aca="false">COUNTIF(M$47:M$52,"Р")-INDEX(Норми!$C$12:$I$47,MATCH("Ранер|Р",Норми!$L$12:$L$47,0),MATCH(M$5,Норми!$C$11:$I$11,0))</f>
        <v>0</v>
      </c>
      <c r="N53" s="40" t="n">
        <f aca="false">COUNTIF(N$47:N$52,"Р")-INDEX(Норми!$C$12:$I$47,MATCH("Ранер|Р",Норми!$L$12:$L$47,0),MATCH(N$5,Норми!$C$11:$I$11,0))</f>
        <v>0</v>
      </c>
      <c r="O53" s="40" t="n">
        <f aca="false">COUNTIF(O$47:O$52,"Р")-INDEX(Норми!$C$12:$I$47,MATCH("Ранер|Р",Норми!$L$12:$L$47,0),MATCH(O$5,Норми!$C$11:$I$11,0))</f>
        <v>0</v>
      </c>
      <c r="P53" s="40" t="n">
        <f aca="false">COUNTIF(P$47:P$52,"Р")-INDEX(Норми!$C$12:$I$47,MATCH("Ранер|Р",Норми!$L$12:$L$47,0),MATCH(P$5,Норми!$C$11:$I$11,0))</f>
        <v>0</v>
      </c>
      <c r="Q53" s="40" t="n">
        <f aca="false">COUNTIF(Q$47:Q$52,"Р")-INDEX(Норми!$C$12:$I$47,MATCH("Ранер|Р",Норми!$L$12:$L$47,0),MATCH(Q$5,Норми!$C$11:$I$11,0))</f>
        <v>0</v>
      </c>
      <c r="R53" s="40" t="n">
        <f aca="false">COUNTIF(R$47:R$52,"Р")-INDEX(Норми!$C$12:$I$47,MATCH("Ранер|Р",Норми!$L$12:$L$47,0),MATCH(R$5,Норми!$C$11:$I$11,0))</f>
        <v>0</v>
      </c>
      <c r="S53" s="40" t="n">
        <f aca="false">COUNTIF(S$47:S$52,"Р")-INDEX(Норми!$C$12:$I$47,MATCH("Ранер|Р",Норми!$L$12:$L$47,0),MATCH(S$5,Норми!$C$11:$I$11,0))</f>
        <v>0</v>
      </c>
      <c r="T53" s="40" t="n">
        <f aca="false">COUNTIF(T$47:T$52,"Р")-INDEX(Норми!$C$12:$I$47,MATCH("Ранер|Р",Норми!$L$12:$L$47,0),MATCH(T$5,Норми!$C$11:$I$11,0))</f>
        <v>0</v>
      </c>
      <c r="U53" s="40" t="n">
        <f aca="false">COUNTIF(U$47:U$52,"Р")-INDEX(Норми!$C$12:$I$47,MATCH("Ранер|Р",Норми!$L$12:$L$47,0),MATCH(U$5,Норми!$C$11:$I$11,0))</f>
        <v>0</v>
      </c>
      <c r="V53" s="40" t="n">
        <f aca="false">COUNTIF(V$47:V$52,"Р")-INDEX(Норми!$C$12:$I$47,MATCH("Ранер|Р",Норми!$L$12:$L$47,0),MATCH(V$5,Норми!$C$11:$I$11,0))</f>
        <v>0</v>
      </c>
      <c r="W53" s="40" t="n">
        <f aca="false">COUNTIF(W$47:W$52,"Р")-INDEX(Норми!$C$12:$I$47,MATCH("Ранер|Р",Норми!$L$12:$L$47,0),MATCH(W$5,Норми!$C$11:$I$11,0))</f>
        <v>0</v>
      </c>
      <c r="X53" s="40" t="n">
        <f aca="false">COUNTIF(X$47:X$52,"Р")-INDEX(Норми!$C$12:$I$47,MATCH("Ранер|Р",Норми!$L$12:$L$47,0),MATCH(X$5,Норми!$C$11:$I$11,0))</f>
        <v>0</v>
      </c>
      <c r="Y53" s="40" t="n">
        <f aca="false">COUNTIF(Y$47:Y$52,"Р")-INDEX(Норми!$C$12:$I$47,MATCH("Ранер|Р",Норми!$L$12:$L$47,0),MATCH(Y$5,Норми!$C$11:$I$11,0))</f>
        <v>0</v>
      </c>
      <c r="Z53" s="40" t="n">
        <f aca="false">COUNTIF(Z$47:Z$52,"Р")-INDEX(Норми!$C$12:$I$47,MATCH("Ранер|Р",Норми!$L$12:$L$47,0),MATCH(Z$5,Норми!$C$11:$I$11,0))</f>
        <v>0</v>
      </c>
      <c r="AA53" s="40" t="n">
        <f aca="false">COUNTIF(AA$47:AA$52,"Р")-INDEX(Норми!$C$12:$I$47,MATCH("Ранер|Р",Норми!$L$12:$L$47,0),MATCH(AA$5,Норми!$C$11:$I$11,0))</f>
        <v>0</v>
      </c>
      <c r="AB53" s="40" t="n">
        <f aca="false">COUNTIF(AB$47:AB$52,"Р")-INDEX(Норми!$C$12:$I$47,MATCH("Ранер|Р",Норми!$L$12:$L$47,0),MATCH(AB$5,Норми!$C$11:$I$11,0))</f>
        <v>0</v>
      </c>
      <c r="AC53" s="40" t="n">
        <f aca="false">COUNTIF(AC$47:AC$52,"Р")-INDEX(Норми!$C$12:$I$47,MATCH("Ранер|Р",Норми!$L$12:$L$47,0),MATCH(AC$5,Норми!$C$11:$I$11,0))</f>
        <v>0</v>
      </c>
      <c r="AD53" s="40" t="n">
        <f aca="false">COUNTIF(AD$47:AD$52,"Р")-INDEX(Норми!$C$12:$I$47,MATCH("Ранер|Р",Норми!$L$12:$L$47,0),MATCH(AD$5,Норми!$C$11:$I$11,0))</f>
        <v>0</v>
      </c>
      <c r="AE53" s="40" t="n">
        <f aca="false">COUNTIF(AE$47:AE$52,"Р")-INDEX(Норми!$C$12:$I$47,MATCH("Ранер|Р",Норми!$L$12:$L$47,0),MATCH(AE$5,Норми!$C$11:$I$11,0))</f>
        <v>0</v>
      </c>
      <c r="AF53" s="40" t="n">
        <f aca="false">COUNTIF(AF$47:AF$52,"Р")-INDEX(Норми!$C$12:$I$47,MATCH("Ранер|Р",Норми!$L$12:$L$47,0),MATCH(AF$5,Норми!$C$11:$I$11,0))</f>
        <v>0</v>
      </c>
      <c r="AG53" s="40" t="n">
        <f aca="false">COUNTIF(AG$47:AG$52,"Р")-INDEX(Норми!$C$12:$I$47,MATCH("Ранер|Р",Норми!$L$12:$L$47,0),MATCH(AG$5,Норми!$C$11:$I$11,0))</f>
        <v>0</v>
      </c>
      <c r="AH53" s="40" t="n">
        <f aca="false">COUNTIF(AH$47:AH$52,"Р")-INDEX(Норми!$C$12:$I$47,MATCH("Ранер|Р",Норми!$L$12:$L$47,0),MATCH(AH$5,Норми!$C$11:$I$11,0))</f>
        <v>0</v>
      </c>
    </row>
    <row r="54" customFormat="false" ht="15" hidden="false" customHeight="false" outlineLevel="0" collapsed="false">
      <c r="C54" s="35" t="s">
        <v>147</v>
      </c>
      <c r="D54" s="40" t="n">
        <f aca="false">COUNTIF(D$47:D$52,"С")-INDEX(Норми!$C$12:$I$47,MATCH("Ранер|С",Норми!$L$12:$L$47,0),MATCH(D$5,Норми!$C$11:$I$11,0))</f>
        <v>0</v>
      </c>
      <c r="E54" s="40" t="n">
        <f aca="false">COUNTIF(E$47:E$52,"С")-INDEX(Норми!$C$12:$I$47,MATCH("Ранер|С",Норми!$L$12:$L$47,0),MATCH(E$5,Норми!$C$11:$I$11,0))</f>
        <v>0</v>
      </c>
      <c r="F54" s="40" t="n">
        <f aca="false">COUNTIF(F$47:F$52,"С")-INDEX(Норми!$C$12:$I$47,MATCH("Ранер|С",Норми!$L$12:$L$47,0),MATCH(F$5,Норми!$C$11:$I$11,0))</f>
        <v>0</v>
      </c>
      <c r="G54" s="40" t="n">
        <f aca="false">COUNTIF(G$47:G$52,"С")-INDEX(Норми!$C$12:$I$47,MATCH("Ранер|С",Норми!$L$12:$L$47,0),MATCH(G$5,Норми!$C$11:$I$11,0))</f>
        <v>0</v>
      </c>
      <c r="H54" s="40" t="n">
        <f aca="false">COUNTIF(H$47:H$52,"С")-INDEX(Норми!$C$12:$I$47,MATCH("Ранер|С",Норми!$L$12:$L$47,0),MATCH(H$5,Норми!$C$11:$I$11,0))</f>
        <v>0</v>
      </c>
      <c r="I54" s="40" t="n">
        <f aca="false">COUNTIF(I$47:I$52,"С")-INDEX(Норми!$C$12:$I$47,MATCH("Ранер|С",Норми!$L$12:$L$47,0),MATCH(I$5,Норми!$C$11:$I$11,0))</f>
        <v>0</v>
      </c>
      <c r="J54" s="40" t="n">
        <f aca="false">COUNTIF(J$47:J$52,"С")-INDEX(Норми!$C$12:$I$47,MATCH("Ранер|С",Норми!$L$12:$L$47,0),MATCH(J$5,Норми!$C$11:$I$11,0))</f>
        <v>0</v>
      </c>
      <c r="K54" s="40" t="n">
        <f aca="false">COUNTIF(K$47:K$52,"С")-INDEX(Норми!$C$12:$I$47,MATCH("Ранер|С",Норми!$L$12:$L$47,0),MATCH(K$5,Норми!$C$11:$I$11,0))</f>
        <v>0</v>
      </c>
      <c r="L54" s="40" t="n">
        <f aca="false">COUNTIF(L$47:L$52,"С")-INDEX(Норми!$C$12:$I$47,MATCH("Ранер|С",Норми!$L$12:$L$47,0),MATCH(L$5,Норми!$C$11:$I$11,0))</f>
        <v>0</v>
      </c>
      <c r="M54" s="40" t="n">
        <f aca="false">COUNTIF(M$47:M$52,"С")-INDEX(Норми!$C$12:$I$47,MATCH("Ранер|С",Норми!$L$12:$L$47,0),MATCH(M$5,Норми!$C$11:$I$11,0))</f>
        <v>0</v>
      </c>
      <c r="N54" s="40" t="n">
        <f aca="false">COUNTIF(N$47:N$52,"С")-INDEX(Норми!$C$12:$I$47,MATCH("Ранер|С",Норми!$L$12:$L$47,0),MATCH(N$5,Норми!$C$11:$I$11,0))</f>
        <v>0</v>
      </c>
      <c r="O54" s="40" t="n">
        <f aca="false">COUNTIF(O$47:O$52,"С")-INDEX(Норми!$C$12:$I$47,MATCH("Ранер|С",Норми!$L$12:$L$47,0),MATCH(O$5,Норми!$C$11:$I$11,0))</f>
        <v>0</v>
      </c>
      <c r="P54" s="40" t="n">
        <f aca="false">COUNTIF(P$47:P$52,"С")-INDEX(Норми!$C$12:$I$47,MATCH("Ранер|С",Норми!$L$12:$L$47,0),MATCH(P$5,Норми!$C$11:$I$11,0))</f>
        <v>0</v>
      </c>
      <c r="Q54" s="40" t="n">
        <f aca="false">COUNTIF(Q$47:Q$52,"С")-INDEX(Норми!$C$12:$I$47,MATCH("Ранер|С",Норми!$L$12:$L$47,0),MATCH(Q$5,Норми!$C$11:$I$11,0))</f>
        <v>0</v>
      </c>
      <c r="R54" s="40" t="n">
        <f aca="false">COUNTIF(R$47:R$52,"С")-INDEX(Норми!$C$12:$I$47,MATCH("Ранер|С",Норми!$L$12:$L$47,0),MATCH(R$5,Норми!$C$11:$I$11,0))</f>
        <v>0</v>
      </c>
      <c r="S54" s="40" t="n">
        <f aca="false">COUNTIF(S$47:S$52,"С")-INDEX(Норми!$C$12:$I$47,MATCH("Ранер|С",Норми!$L$12:$L$47,0),MATCH(S$5,Норми!$C$11:$I$11,0))</f>
        <v>0</v>
      </c>
      <c r="T54" s="40" t="n">
        <f aca="false">COUNTIF(T$47:T$52,"С")-INDEX(Норми!$C$12:$I$47,MATCH("Ранер|С",Норми!$L$12:$L$47,0),MATCH(T$5,Норми!$C$11:$I$11,0))</f>
        <v>0</v>
      </c>
      <c r="U54" s="40" t="n">
        <f aca="false">COUNTIF(U$47:U$52,"С")-INDEX(Норми!$C$12:$I$47,MATCH("Ранер|С",Норми!$L$12:$L$47,0),MATCH(U$5,Норми!$C$11:$I$11,0))</f>
        <v>0</v>
      </c>
      <c r="V54" s="40" t="n">
        <f aca="false">COUNTIF(V$47:V$52,"С")-INDEX(Норми!$C$12:$I$47,MATCH("Ранер|С",Норми!$L$12:$L$47,0),MATCH(V$5,Норми!$C$11:$I$11,0))</f>
        <v>0</v>
      </c>
      <c r="W54" s="40" t="n">
        <f aca="false">COUNTIF(W$47:W$52,"С")-INDEX(Норми!$C$12:$I$47,MATCH("Ранер|С",Норми!$L$12:$L$47,0),MATCH(W$5,Норми!$C$11:$I$11,0))</f>
        <v>0</v>
      </c>
      <c r="X54" s="40" t="n">
        <f aca="false">COUNTIF(X$47:X$52,"С")-INDEX(Норми!$C$12:$I$47,MATCH("Ранер|С",Норми!$L$12:$L$47,0),MATCH(X$5,Норми!$C$11:$I$11,0))</f>
        <v>0</v>
      </c>
      <c r="Y54" s="40" t="n">
        <f aca="false">COUNTIF(Y$47:Y$52,"С")-INDEX(Норми!$C$12:$I$47,MATCH("Ранер|С",Норми!$L$12:$L$47,0),MATCH(Y$5,Норми!$C$11:$I$11,0))</f>
        <v>0</v>
      </c>
      <c r="Z54" s="40" t="n">
        <f aca="false">COUNTIF(Z$47:Z$52,"С")-INDEX(Норми!$C$12:$I$47,MATCH("Ранер|С",Норми!$L$12:$L$47,0),MATCH(Z$5,Норми!$C$11:$I$11,0))</f>
        <v>0</v>
      </c>
      <c r="AA54" s="40" t="n">
        <f aca="false">COUNTIF(AA$47:AA$52,"С")-INDEX(Норми!$C$12:$I$47,MATCH("Ранер|С",Норми!$L$12:$L$47,0),MATCH(AA$5,Норми!$C$11:$I$11,0))</f>
        <v>0</v>
      </c>
      <c r="AB54" s="40" t="n">
        <f aca="false">COUNTIF(AB$47:AB$52,"С")-INDEX(Норми!$C$12:$I$47,MATCH("Ранер|С",Норми!$L$12:$L$47,0),MATCH(AB$5,Норми!$C$11:$I$11,0))</f>
        <v>0</v>
      </c>
      <c r="AC54" s="40" t="n">
        <f aca="false">COUNTIF(AC$47:AC$52,"С")-INDEX(Норми!$C$12:$I$47,MATCH("Ранер|С",Норми!$L$12:$L$47,0),MATCH(AC$5,Норми!$C$11:$I$11,0))</f>
        <v>0</v>
      </c>
      <c r="AD54" s="40" t="n">
        <f aca="false">COUNTIF(AD$47:AD$52,"С")-INDEX(Норми!$C$12:$I$47,MATCH("Ранер|С",Норми!$L$12:$L$47,0),MATCH(AD$5,Норми!$C$11:$I$11,0))</f>
        <v>0</v>
      </c>
      <c r="AE54" s="40" t="n">
        <f aca="false">COUNTIF(AE$47:AE$52,"С")-INDEX(Норми!$C$12:$I$47,MATCH("Ранер|С",Норми!$L$12:$L$47,0),MATCH(AE$5,Норми!$C$11:$I$11,0))</f>
        <v>0</v>
      </c>
      <c r="AF54" s="40" t="n">
        <f aca="false">COUNTIF(AF$47:AF$52,"С")-INDEX(Норми!$C$12:$I$47,MATCH("Ранер|С",Норми!$L$12:$L$47,0),MATCH(AF$5,Норми!$C$11:$I$11,0))</f>
        <v>0</v>
      </c>
      <c r="AG54" s="40" t="n">
        <f aca="false">COUNTIF(AG$47:AG$52,"С")-INDEX(Норми!$C$12:$I$47,MATCH("Ранер|С",Норми!$L$12:$L$47,0),MATCH(AG$5,Норми!$C$11:$I$11,0))</f>
        <v>0</v>
      </c>
      <c r="AH54" s="40" t="n">
        <f aca="false">COUNTIF(AH$47:AH$52,"С")-INDEX(Норми!$C$12:$I$47,MATCH("Ранер|С",Норми!$L$12:$L$47,0),MATCH(AH$5,Норми!$C$11:$I$11,0))</f>
        <v>0</v>
      </c>
    </row>
    <row r="55" customFormat="false" ht="15" hidden="false" customHeight="false" outlineLevel="0" collapsed="false">
      <c r="C55" s="35" t="s">
        <v>141</v>
      </c>
      <c r="D55" s="40" t="n">
        <f aca="false">COUNTIF(D$47:D$52,"В")-INDEX(Норми!$C$12:$I$47,MATCH("Ранер|В",Норми!$L$12:$L$47,0),MATCH(D$5,Норми!$C$11:$I$11,0))</f>
        <v>0</v>
      </c>
      <c r="E55" s="40" t="n">
        <f aca="false">COUNTIF(E$47:E$52,"В")-INDEX(Норми!$C$12:$I$47,MATCH("Ранер|В",Норми!$L$12:$L$47,0),MATCH(E$5,Норми!$C$11:$I$11,0))</f>
        <v>0</v>
      </c>
      <c r="F55" s="40" t="n">
        <f aca="false">COUNTIF(F$47:F$52,"В")-INDEX(Норми!$C$12:$I$47,MATCH("Ранер|В",Норми!$L$12:$L$47,0),MATCH(F$5,Норми!$C$11:$I$11,0))</f>
        <v>0</v>
      </c>
      <c r="G55" s="40" t="n">
        <f aca="false">COUNTIF(G$47:G$52,"В")-INDEX(Норми!$C$12:$I$47,MATCH("Ранер|В",Норми!$L$12:$L$47,0),MATCH(G$5,Норми!$C$11:$I$11,0))</f>
        <v>0</v>
      </c>
      <c r="H55" s="40" t="n">
        <f aca="false">COUNTIF(H$47:H$52,"В")-INDEX(Норми!$C$12:$I$47,MATCH("Ранер|В",Норми!$L$12:$L$47,0),MATCH(H$5,Норми!$C$11:$I$11,0))</f>
        <v>0</v>
      </c>
      <c r="I55" s="40" t="n">
        <f aca="false">COUNTIF(I$47:I$52,"В")-INDEX(Норми!$C$12:$I$47,MATCH("Ранер|В",Норми!$L$12:$L$47,0),MATCH(I$5,Норми!$C$11:$I$11,0))</f>
        <v>0</v>
      </c>
      <c r="J55" s="40" t="n">
        <f aca="false">COUNTIF(J$47:J$52,"В")-INDEX(Норми!$C$12:$I$47,MATCH("Ранер|В",Норми!$L$12:$L$47,0),MATCH(J$5,Норми!$C$11:$I$11,0))</f>
        <v>0</v>
      </c>
      <c r="K55" s="40" t="n">
        <f aca="false">COUNTIF(K$47:K$52,"В")-INDEX(Норми!$C$12:$I$47,MATCH("Ранер|В",Норми!$L$12:$L$47,0),MATCH(K$5,Норми!$C$11:$I$11,0))</f>
        <v>0</v>
      </c>
      <c r="L55" s="40" t="n">
        <f aca="false">COUNTIF(L$47:L$52,"В")-INDEX(Норми!$C$12:$I$47,MATCH("Ранер|В",Норми!$L$12:$L$47,0),MATCH(L$5,Норми!$C$11:$I$11,0))</f>
        <v>0</v>
      </c>
      <c r="M55" s="40" t="n">
        <f aca="false">COUNTIF(M$47:M$52,"В")-INDEX(Норми!$C$12:$I$47,MATCH("Ранер|В",Норми!$L$12:$L$47,0),MATCH(M$5,Норми!$C$11:$I$11,0))</f>
        <v>0</v>
      </c>
      <c r="N55" s="40" t="n">
        <f aca="false">COUNTIF(N$47:N$52,"В")-INDEX(Норми!$C$12:$I$47,MATCH("Ранер|В",Норми!$L$12:$L$47,0),MATCH(N$5,Норми!$C$11:$I$11,0))</f>
        <v>0</v>
      </c>
      <c r="O55" s="40" t="n">
        <f aca="false">COUNTIF(O$47:O$52,"В")-INDEX(Норми!$C$12:$I$47,MATCH("Ранер|В",Норми!$L$12:$L$47,0),MATCH(O$5,Норми!$C$11:$I$11,0))</f>
        <v>0</v>
      </c>
      <c r="P55" s="40" t="n">
        <f aca="false">COUNTIF(P$47:P$52,"В")-INDEX(Норми!$C$12:$I$47,MATCH("Ранер|В",Норми!$L$12:$L$47,0),MATCH(P$5,Норми!$C$11:$I$11,0))</f>
        <v>0</v>
      </c>
      <c r="Q55" s="40" t="n">
        <f aca="false">COUNTIF(Q$47:Q$52,"В")-INDEX(Норми!$C$12:$I$47,MATCH("Ранер|В",Норми!$L$12:$L$47,0),MATCH(Q$5,Норми!$C$11:$I$11,0))</f>
        <v>0</v>
      </c>
      <c r="R55" s="40" t="n">
        <f aca="false">COUNTIF(R$47:R$52,"В")-INDEX(Норми!$C$12:$I$47,MATCH("Ранер|В",Норми!$L$12:$L$47,0),MATCH(R$5,Норми!$C$11:$I$11,0))</f>
        <v>0</v>
      </c>
      <c r="S55" s="40" t="n">
        <f aca="false">COUNTIF(S$47:S$52,"В")-INDEX(Норми!$C$12:$I$47,MATCH("Ранер|В",Норми!$L$12:$L$47,0),MATCH(S$5,Норми!$C$11:$I$11,0))</f>
        <v>0</v>
      </c>
      <c r="T55" s="40" t="n">
        <f aca="false">COUNTIF(T$47:T$52,"В")-INDEX(Норми!$C$12:$I$47,MATCH("Ранер|В",Норми!$L$12:$L$47,0),MATCH(T$5,Норми!$C$11:$I$11,0))</f>
        <v>0</v>
      </c>
      <c r="U55" s="40" t="n">
        <f aca="false">COUNTIF(U$47:U$52,"В")-INDEX(Норми!$C$12:$I$47,MATCH("Ранер|В",Норми!$L$12:$L$47,0),MATCH(U$5,Норми!$C$11:$I$11,0))</f>
        <v>0</v>
      </c>
      <c r="V55" s="40" t="n">
        <f aca="false">COUNTIF(V$47:V$52,"В")-INDEX(Норми!$C$12:$I$47,MATCH("Ранер|В",Норми!$L$12:$L$47,0),MATCH(V$5,Норми!$C$11:$I$11,0))</f>
        <v>0</v>
      </c>
      <c r="W55" s="40" t="n">
        <f aca="false">COUNTIF(W$47:W$52,"В")-INDEX(Норми!$C$12:$I$47,MATCH("Ранер|В",Норми!$L$12:$L$47,0),MATCH(W$5,Норми!$C$11:$I$11,0))</f>
        <v>0</v>
      </c>
      <c r="X55" s="40" t="n">
        <f aca="false">COUNTIF(X$47:X$52,"В")-INDEX(Норми!$C$12:$I$47,MATCH("Ранер|В",Норми!$L$12:$L$47,0),MATCH(X$5,Норми!$C$11:$I$11,0))</f>
        <v>0</v>
      </c>
      <c r="Y55" s="40" t="n">
        <f aca="false">COUNTIF(Y$47:Y$52,"В")-INDEX(Норми!$C$12:$I$47,MATCH("Ранер|В",Норми!$L$12:$L$47,0),MATCH(Y$5,Норми!$C$11:$I$11,0))</f>
        <v>0</v>
      </c>
      <c r="Z55" s="40" t="n">
        <f aca="false">COUNTIF(Z$47:Z$52,"В")-INDEX(Норми!$C$12:$I$47,MATCH("Ранер|В",Норми!$L$12:$L$47,0),MATCH(Z$5,Норми!$C$11:$I$11,0))</f>
        <v>0</v>
      </c>
      <c r="AA55" s="40" t="n">
        <f aca="false">COUNTIF(AA$47:AA$52,"В")-INDEX(Норми!$C$12:$I$47,MATCH("Ранер|В",Норми!$L$12:$L$47,0),MATCH(AA$5,Норми!$C$11:$I$11,0))</f>
        <v>0</v>
      </c>
      <c r="AB55" s="40" t="n">
        <f aca="false">COUNTIF(AB$47:AB$52,"В")-INDEX(Норми!$C$12:$I$47,MATCH("Ранер|В",Норми!$L$12:$L$47,0),MATCH(AB$5,Норми!$C$11:$I$11,0))</f>
        <v>0</v>
      </c>
      <c r="AC55" s="40" t="n">
        <f aca="false">COUNTIF(AC$47:AC$52,"В")-INDEX(Норми!$C$12:$I$47,MATCH("Ранер|В",Норми!$L$12:$L$47,0),MATCH(AC$5,Норми!$C$11:$I$11,0))</f>
        <v>0</v>
      </c>
      <c r="AD55" s="40" t="n">
        <f aca="false">COUNTIF(AD$47:AD$52,"В")-INDEX(Норми!$C$12:$I$47,MATCH("Ранер|В",Норми!$L$12:$L$47,0),MATCH(AD$5,Норми!$C$11:$I$11,0))</f>
        <v>0</v>
      </c>
      <c r="AE55" s="40" t="n">
        <f aca="false">COUNTIF(AE$47:AE$52,"В")-INDEX(Норми!$C$12:$I$47,MATCH("Ранер|В",Норми!$L$12:$L$47,0),MATCH(AE$5,Норми!$C$11:$I$11,0))</f>
        <v>0</v>
      </c>
      <c r="AF55" s="40" t="n">
        <f aca="false">COUNTIF(AF$47:AF$52,"В")-INDEX(Норми!$C$12:$I$47,MATCH("Ранер|В",Норми!$L$12:$L$47,0),MATCH(AF$5,Норми!$C$11:$I$11,0))</f>
        <v>0</v>
      </c>
      <c r="AG55" s="40" t="n">
        <f aca="false">COUNTIF(AG$47:AG$52,"В")-INDEX(Норми!$C$12:$I$47,MATCH("Ранер|В",Норми!$L$12:$L$47,0),MATCH(AG$5,Норми!$C$11:$I$11,0))</f>
        <v>0</v>
      </c>
      <c r="AH55" s="40" t="n">
        <f aca="false">COUNTIF(AH$47:AH$52,"В")-INDEX(Норми!$C$12:$I$47,MATCH("Ранер|В",Норми!$L$12:$L$47,0),MATCH(AH$5,Норми!$C$11:$I$11,0))</f>
        <v>0</v>
      </c>
    </row>
    <row r="56" customFormat="false" ht="15" hidden="false" customHeight="false" outlineLevel="0" collapsed="false">
      <c r="C56" s="35" t="s">
        <v>148</v>
      </c>
      <c r="D56" s="40" t="n">
        <f aca="false">COUNTIF(D$47:D$52,"П")-INDEX(Норми!$C$12:$I$47,MATCH("Ранер|П",Норми!$L$12:$L$47,0),MATCH(D$5,Норми!$C$11:$I$11,0))</f>
        <v>0</v>
      </c>
      <c r="E56" s="40" t="n">
        <f aca="false">COUNTIF(E$47:E$52,"П")-INDEX(Норми!$C$12:$I$47,MATCH("Ранер|П",Норми!$L$12:$L$47,0),MATCH(E$5,Норми!$C$11:$I$11,0))</f>
        <v>0</v>
      </c>
      <c r="F56" s="40" t="n">
        <f aca="false">COUNTIF(F$47:F$52,"П")-INDEX(Норми!$C$12:$I$47,MATCH("Ранер|П",Норми!$L$12:$L$47,0),MATCH(F$5,Норми!$C$11:$I$11,0))</f>
        <v>0</v>
      </c>
      <c r="G56" s="40" t="n">
        <f aca="false">COUNTIF(G$47:G$52,"П")-INDEX(Норми!$C$12:$I$47,MATCH("Ранер|П",Норми!$L$12:$L$47,0),MATCH(G$5,Норми!$C$11:$I$11,0))</f>
        <v>0</v>
      </c>
      <c r="H56" s="40" t="n">
        <f aca="false">COUNTIF(H$47:H$52,"П")-INDEX(Норми!$C$12:$I$47,MATCH("Ранер|П",Норми!$L$12:$L$47,0),MATCH(H$5,Норми!$C$11:$I$11,0))</f>
        <v>0</v>
      </c>
      <c r="I56" s="40" t="n">
        <f aca="false">COUNTIF(I$47:I$52,"П")-INDEX(Норми!$C$12:$I$47,MATCH("Ранер|П",Норми!$L$12:$L$47,0),MATCH(I$5,Норми!$C$11:$I$11,0))</f>
        <v>0</v>
      </c>
      <c r="J56" s="40" t="n">
        <f aca="false">COUNTIF(J$47:J$52,"П")-INDEX(Норми!$C$12:$I$47,MATCH("Ранер|П",Норми!$L$12:$L$47,0),MATCH(J$5,Норми!$C$11:$I$11,0))</f>
        <v>0</v>
      </c>
      <c r="K56" s="40" t="n">
        <f aca="false">COUNTIF(K$47:K$52,"П")-INDEX(Норми!$C$12:$I$47,MATCH("Ранер|П",Норми!$L$12:$L$47,0),MATCH(K$5,Норми!$C$11:$I$11,0))</f>
        <v>0</v>
      </c>
      <c r="L56" s="40" t="n">
        <f aca="false">COUNTIF(L$47:L$52,"П")-INDEX(Норми!$C$12:$I$47,MATCH("Ранер|П",Норми!$L$12:$L$47,0),MATCH(L$5,Норми!$C$11:$I$11,0))</f>
        <v>0</v>
      </c>
      <c r="M56" s="40" t="n">
        <f aca="false">COUNTIF(M$47:M$52,"П")-INDEX(Норми!$C$12:$I$47,MATCH("Ранер|П",Норми!$L$12:$L$47,0),MATCH(M$5,Норми!$C$11:$I$11,0))</f>
        <v>0</v>
      </c>
      <c r="N56" s="40" t="n">
        <f aca="false">COUNTIF(N$47:N$52,"П")-INDEX(Норми!$C$12:$I$47,MATCH("Ранер|П",Норми!$L$12:$L$47,0),MATCH(N$5,Норми!$C$11:$I$11,0))</f>
        <v>0</v>
      </c>
      <c r="O56" s="40" t="n">
        <f aca="false">COUNTIF(O$47:O$52,"П")-INDEX(Норми!$C$12:$I$47,MATCH("Ранер|П",Норми!$L$12:$L$47,0),MATCH(O$5,Норми!$C$11:$I$11,0))</f>
        <v>0</v>
      </c>
      <c r="P56" s="40" t="n">
        <f aca="false">COUNTIF(P$47:P$52,"П")-INDEX(Норми!$C$12:$I$47,MATCH("Ранер|П",Норми!$L$12:$L$47,0),MATCH(P$5,Норми!$C$11:$I$11,0))</f>
        <v>0</v>
      </c>
      <c r="Q56" s="40" t="n">
        <f aca="false">COUNTIF(Q$47:Q$52,"П")-INDEX(Норми!$C$12:$I$47,MATCH("Ранер|П",Норми!$L$12:$L$47,0),MATCH(Q$5,Норми!$C$11:$I$11,0))</f>
        <v>0</v>
      </c>
      <c r="R56" s="40" t="n">
        <f aca="false">COUNTIF(R$47:R$52,"П")-INDEX(Норми!$C$12:$I$47,MATCH("Ранер|П",Норми!$L$12:$L$47,0),MATCH(R$5,Норми!$C$11:$I$11,0))</f>
        <v>0</v>
      </c>
      <c r="S56" s="40" t="n">
        <f aca="false">COUNTIF(S$47:S$52,"П")-INDEX(Норми!$C$12:$I$47,MATCH("Ранер|П",Норми!$L$12:$L$47,0),MATCH(S$5,Норми!$C$11:$I$11,0))</f>
        <v>0</v>
      </c>
      <c r="T56" s="40" t="n">
        <f aca="false">COUNTIF(T$47:T$52,"П")-INDEX(Норми!$C$12:$I$47,MATCH("Ранер|П",Норми!$L$12:$L$47,0),MATCH(T$5,Норми!$C$11:$I$11,0))</f>
        <v>0</v>
      </c>
      <c r="U56" s="40" t="n">
        <f aca="false">COUNTIF(U$47:U$52,"П")-INDEX(Норми!$C$12:$I$47,MATCH("Ранер|П",Норми!$L$12:$L$47,0),MATCH(U$5,Норми!$C$11:$I$11,0))</f>
        <v>0</v>
      </c>
      <c r="V56" s="40" t="n">
        <f aca="false">COUNTIF(V$47:V$52,"П")-INDEX(Норми!$C$12:$I$47,MATCH("Ранер|П",Норми!$L$12:$L$47,0),MATCH(V$5,Норми!$C$11:$I$11,0))</f>
        <v>0</v>
      </c>
      <c r="W56" s="40" t="n">
        <f aca="false">COUNTIF(W$47:W$52,"П")-INDEX(Норми!$C$12:$I$47,MATCH("Ранер|П",Норми!$L$12:$L$47,0),MATCH(W$5,Норми!$C$11:$I$11,0))</f>
        <v>0</v>
      </c>
      <c r="X56" s="40" t="n">
        <f aca="false">COUNTIF(X$47:X$52,"П")-INDEX(Норми!$C$12:$I$47,MATCH("Ранер|П",Норми!$L$12:$L$47,0),MATCH(X$5,Норми!$C$11:$I$11,0))</f>
        <v>0</v>
      </c>
      <c r="Y56" s="40" t="n">
        <f aca="false">COUNTIF(Y$47:Y$52,"П")-INDEX(Норми!$C$12:$I$47,MATCH("Ранер|П",Норми!$L$12:$L$47,0),MATCH(Y$5,Норми!$C$11:$I$11,0))</f>
        <v>0</v>
      </c>
      <c r="Z56" s="40" t="n">
        <f aca="false">COUNTIF(Z$47:Z$52,"П")-INDEX(Норми!$C$12:$I$47,MATCH("Ранер|П",Норми!$L$12:$L$47,0),MATCH(Z$5,Норми!$C$11:$I$11,0))</f>
        <v>0</v>
      </c>
      <c r="AA56" s="40" t="n">
        <f aca="false">COUNTIF(AA$47:AA$52,"П")-INDEX(Норми!$C$12:$I$47,MATCH("Ранер|П",Норми!$L$12:$L$47,0),MATCH(AA$5,Норми!$C$11:$I$11,0))</f>
        <v>0</v>
      </c>
      <c r="AB56" s="40" t="n">
        <f aca="false">COUNTIF(AB$47:AB$52,"П")-INDEX(Норми!$C$12:$I$47,MATCH("Ранер|П",Норми!$L$12:$L$47,0),MATCH(AB$5,Норми!$C$11:$I$11,0))</f>
        <v>0</v>
      </c>
      <c r="AC56" s="40" t="n">
        <f aca="false">COUNTIF(AC$47:AC$52,"П")-INDEX(Норми!$C$12:$I$47,MATCH("Ранер|П",Норми!$L$12:$L$47,0),MATCH(AC$5,Норми!$C$11:$I$11,0))</f>
        <v>0</v>
      </c>
      <c r="AD56" s="40" t="n">
        <f aca="false">COUNTIF(AD$47:AD$52,"П")-INDEX(Норми!$C$12:$I$47,MATCH("Ранер|П",Норми!$L$12:$L$47,0),MATCH(AD$5,Норми!$C$11:$I$11,0))</f>
        <v>0</v>
      </c>
      <c r="AE56" s="40" t="n">
        <f aca="false">COUNTIF(AE$47:AE$52,"П")-INDEX(Норми!$C$12:$I$47,MATCH("Ранер|П",Норми!$L$12:$L$47,0),MATCH(AE$5,Норми!$C$11:$I$11,0))</f>
        <v>0</v>
      </c>
      <c r="AF56" s="40" t="n">
        <f aca="false">COUNTIF(AF$47:AF$52,"П")-INDEX(Норми!$C$12:$I$47,MATCH("Ранер|П",Норми!$L$12:$L$47,0),MATCH(AF$5,Норми!$C$11:$I$11,0))</f>
        <v>0</v>
      </c>
      <c r="AG56" s="40" t="n">
        <f aca="false">COUNTIF(AG$47:AG$52,"П")-INDEX(Норми!$C$12:$I$47,MATCH("Ранер|П",Норми!$L$12:$L$47,0),MATCH(AG$5,Норми!$C$11:$I$11,0))</f>
        <v>0</v>
      </c>
      <c r="AH56" s="40" t="n">
        <f aca="false">COUNTIF(AH$47:AH$52,"П")-INDEX(Норми!$C$12:$I$47,MATCH("Ранер|П",Норми!$L$12:$L$47,0),MATCH(AH$5,Норми!$C$11:$I$11,0))</f>
        <v>0</v>
      </c>
    </row>
    <row r="58" customFormat="false" ht="15" hidden="false" customHeight="false" outlineLevel="0" collapsed="false">
      <c r="A58" s="21" t="s">
        <v>168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</row>
    <row r="59" customFormat="false" ht="15" hidden="false" customHeight="false" outlineLevel="0" collapsed="false">
      <c r="A59" s="8" t="n">
        <v>25</v>
      </c>
      <c r="B59" s="7" t="s">
        <v>96</v>
      </c>
      <c r="C59" s="37" t="s">
        <v>169</v>
      </c>
      <c r="D59" s="38" t="s">
        <v>49</v>
      </c>
      <c r="E59" s="38" t="s">
        <v>49</v>
      </c>
      <c r="F59" s="38" t="s">
        <v>49</v>
      </c>
      <c r="G59" s="38" t="s">
        <v>49</v>
      </c>
      <c r="H59" s="38" t="s">
        <v>49</v>
      </c>
      <c r="I59" s="38"/>
      <c r="J59" s="38"/>
      <c r="K59" s="38" t="s">
        <v>45</v>
      </c>
      <c r="L59" s="38" t="s">
        <v>45</v>
      </c>
      <c r="M59" s="38" t="s">
        <v>45</v>
      </c>
      <c r="N59" s="38" t="s">
        <v>49</v>
      </c>
      <c r="O59" s="38"/>
      <c r="P59" s="38"/>
      <c r="Q59" s="38" t="s">
        <v>49</v>
      </c>
      <c r="R59" s="38" t="s">
        <v>45</v>
      </c>
      <c r="S59" s="38" t="s">
        <v>45</v>
      </c>
      <c r="T59" s="38" t="s">
        <v>45</v>
      </c>
      <c r="U59" s="38"/>
      <c r="V59" s="38"/>
      <c r="W59" s="38" t="s">
        <v>49</v>
      </c>
      <c r="X59" s="38" t="s">
        <v>49</v>
      </c>
      <c r="Y59" s="38" t="s">
        <v>49</v>
      </c>
      <c r="Z59" s="38" t="s">
        <v>49</v>
      </c>
      <c r="AA59" s="38" t="s">
        <v>49</v>
      </c>
      <c r="AB59" s="38"/>
      <c r="AC59" s="38"/>
      <c r="AD59" s="38" t="s">
        <v>49</v>
      </c>
      <c r="AE59" s="38" t="s">
        <v>49</v>
      </c>
      <c r="AF59" s="38" t="s">
        <v>49</v>
      </c>
      <c r="AG59" s="38" t="s">
        <v>49</v>
      </c>
      <c r="AH59" s="38" t="s">
        <v>49</v>
      </c>
      <c r="AI59" s="8" t="n">
        <f aca="false">COUNTA(D59:AH59)</f>
        <v>23</v>
      </c>
      <c r="AJ59" s="39" t="n">
        <f aca="false">SUMPRODUCT((D59:AH59="Р")*$D$7:$AH$7)+SUMPRODUCT((D59:AH59="С")*$D$8:$AH$8)+SUMPRODUCT((D59:AH59="В")*$D$9:$AH$9)+SUMPRODUCT((D59:AH59="П")*$D$10:$AH$10)</f>
        <v>174.5</v>
      </c>
      <c r="AK59" s="8" t="n">
        <f aca="false">COLUMNS(D59:AH59)-AI59</f>
        <v>8</v>
      </c>
      <c r="AL59" s="8" t="n">
        <f aca="false">SUMPRODUCT((D59:AH59&lt;&gt;"")*(($D$5:$AH$5="Пт")+($D$5:$AH$5="Сб")))</f>
        <v>10</v>
      </c>
      <c r="AM59" s="26" t="n">
        <f aca="false">AJ59-Зміни!$C$19</f>
        <v>-1.5</v>
      </c>
    </row>
    <row r="60" customFormat="false" ht="15" hidden="false" customHeight="false" outlineLevel="0" collapsed="false">
      <c r="A60" s="8" t="n">
        <v>26</v>
      </c>
      <c r="B60" s="7" t="s">
        <v>96</v>
      </c>
      <c r="C60" s="37" t="s">
        <v>170</v>
      </c>
      <c r="D60" s="38" t="s">
        <v>45</v>
      </c>
      <c r="E60" s="38" t="s">
        <v>45</v>
      </c>
      <c r="F60" s="38" t="s">
        <v>45</v>
      </c>
      <c r="G60" s="38"/>
      <c r="H60" s="38"/>
      <c r="I60" s="38" t="s">
        <v>49</v>
      </c>
      <c r="J60" s="38" t="s">
        <v>49</v>
      </c>
      <c r="K60" s="38" t="s">
        <v>49</v>
      </c>
      <c r="L60" s="38" t="s">
        <v>49</v>
      </c>
      <c r="M60" s="38" t="s">
        <v>49</v>
      </c>
      <c r="N60" s="38"/>
      <c r="O60" s="38" t="s">
        <v>49</v>
      </c>
      <c r="P60" s="38" t="s">
        <v>49</v>
      </c>
      <c r="Q60" s="38"/>
      <c r="R60" s="38" t="s">
        <v>49</v>
      </c>
      <c r="S60" s="38" t="s">
        <v>49</v>
      </c>
      <c r="T60" s="38" t="s">
        <v>49</v>
      </c>
      <c r="U60" s="38" t="s">
        <v>49</v>
      </c>
      <c r="V60" s="38" t="s">
        <v>49</v>
      </c>
      <c r="W60" s="38"/>
      <c r="X60" s="38"/>
      <c r="Y60" s="38" t="s">
        <v>45</v>
      </c>
      <c r="Z60" s="38" t="s">
        <v>45</v>
      </c>
      <c r="AA60" s="38" t="s">
        <v>45</v>
      </c>
      <c r="AB60" s="38" t="s">
        <v>49</v>
      </c>
      <c r="AC60" s="38" t="s">
        <v>49</v>
      </c>
      <c r="AD60" s="38"/>
      <c r="AE60" s="38"/>
      <c r="AF60" s="38" t="s">
        <v>45</v>
      </c>
      <c r="AG60" s="38" t="s">
        <v>45</v>
      </c>
      <c r="AH60" s="38" t="s">
        <v>45</v>
      </c>
      <c r="AI60" s="8" t="n">
        <f aca="false">COUNTA(D60:AH60)</f>
        <v>23</v>
      </c>
      <c r="AJ60" s="39" t="n">
        <f aca="false">SUMPRODUCT((D60:AH60="Р")*$D$7:$AH$7)+SUMPRODUCT((D60:AH60="С")*$D$8:$AH$8)+SUMPRODUCT((D60:AH60="В")*$D$9:$AH$9)+SUMPRODUCT((D60:AH60="П")*$D$10:$AH$10)</f>
        <v>176</v>
      </c>
      <c r="AK60" s="8" t="n">
        <f aca="false">COLUMNS(D60:AH60)-AI60</f>
        <v>8</v>
      </c>
      <c r="AL60" s="8" t="n">
        <f aca="false">SUMPRODUCT((D60:AH60&lt;&gt;"")*(($D$5:$AH$5="Пт")+($D$5:$AH$5="Сб")))</f>
        <v>10</v>
      </c>
      <c r="AM60" s="26" t="n">
        <f aca="false">AJ60-Зміни!$C$19</f>
        <v>0</v>
      </c>
    </row>
    <row r="61" customFormat="false" ht="15" hidden="false" customHeight="false" outlineLevel="0" collapsed="false">
      <c r="C61" s="35" t="s">
        <v>147</v>
      </c>
      <c r="D61" s="40" t="n">
        <f aca="false">COUNTIF(D$59:D$60,"С")-INDEX(Норми!$C$12:$I$47,MATCH("Сомельє|С",Норми!$L$12:$L$47,0),MATCH(D$5,Норми!$C$11:$I$11,0))</f>
        <v>0</v>
      </c>
      <c r="E61" s="40" t="n">
        <f aca="false">COUNTIF(E$59:E$60,"С")-INDEX(Норми!$C$12:$I$47,MATCH("Сомельє|С",Норми!$L$12:$L$47,0),MATCH(E$5,Норми!$C$11:$I$11,0))</f>
        <v>0</v>
      </c>
      <c r="F61" s="40" t="n">
        <f aca="false">COUNTIF(F$59:F$60,"С")-INDEX(Норми!$C$12:$I$47,MATCH("Сомельє|С",Норми!$L$12:$L$47,0),MATCH(F$5,Норми!$C$11:$I$11,0))</f>
        <v>0</v>
      </c>
      <c r="G61" s="40" t="n">
        <f aca="false">COUNTIF(G$59:G$60,"С")-INDEX(Норми!$C$12:$I$47,MATCH("Сомельє|С",Норми!$L$12:$L$47,0),MATCH(G$5,Норми!$C$11:$I$11,0))</f>
        <v>0</v>
      </c>
      <c r="H61" s="40" t="n">
        <f aca="false">COUNTIF(H$59:H$60,"С")-INDEX(Норми!$C$12:$I$47,MATCH("Сомельє|С",Норми!$L$12:$L$47,0),MATCH(H$5,Норми!$C$11:$I$11,0))</f>
        <v>0</v>
      </c>
      <c r="I61" s="40" t="n">
        <f aca="false">COUNTIF(I$59:I$60,"С")-INDEX(Норми!$C$12:$I$47,MATCH("Сомельє|С",Норми!$L$12:$L$47,0),MATCH(I$5,Норми!$C$11:$I$11,0))</f>
        <v>0</v>
      </c>
      <c r="J61" s="40" t="n">
        <f aca="false">COUNTIF(J$59:J$60,"С")-INDEX(Норми!$C$12:$I$47,MATCH("Сомельє|С",Норми!$L$12:$L$47,0),MATCH(J$5,Норми!$C$11:$I$11,0))</f>
        <v>0</v>
      </c>
      <c r="K61" s="40" t="n">
        <f aca="false">COUNTIF(K$59:K$60,"С")-INDEX(Норми!$C$12:$I$47,MATCH("Сомельє|С",Норми!$L$12:$L$47,0),MATCH(K$5,Норми!$C$11:$I$11,0))</f>
        <v>0</v>
      </c>
      <c r="L61" s="40" t="n">
        <f aca="false">COUNTIF(L$59:L$60,"С")-INDEX(Норми!$C$12:$I$47,MATCH("Сомельє|С",Норми!$L$12:$L$47,0),MATCH(L$5,Норми!$C$11:$I$11,0))</f>
        <v>0</v>
      </c>
      <c r="M61" s="40" t="n">
        <f aca="false">COUNTIF(M$59:M$60,"С")-INDEX(Норми!$C$12:$I$47,MATCH("Сомельє|С",Норми!$L$12:$L$47,0),MATCH(M$5,Норми!$C$11:$I$11,0))</f>
        <v>0</v>
      </c>
      <c r="N61" s="40" t="n">
        <f aca="false">COUNTIF(N$59:N$60,"С")-INDEX(Норми!$C$12:$I$47,MATCH("Сомельє|С",Норми!$L$12:$L$47,0),MATCH(N$5,Норми!$C$11:$I$11,0))</f>
        <v>0</v>
      </c>
      <c r="O61" s="40" t="n">
        <f aca="false">COUNTIF(O$59:O$60,"С")-INDEX(Норми!$C$12:$I$47,MATCH("Сомельє|С",Норми!$L$12:$L$47,0),MATCH(O$5,Норми!$C$11:$I$11,0))</f>
        <v>0</v>
      </c>
      <c r="P61" s="40" t="n">
        <f aca="false">COUNTIF(P$59:P$60,"С")-INDEX(Норми!$C$12:$I$47,MATCH("Сомельє|С",Норми!$L$12:$L$47,0),MATCH(P$5,Норми!$C$11:$I$11,0))</f>
        <v>0</v>
      </c>
      <c r="Q61" s="40" t="n">
        <f aca="false">COUNTIF(Q$59:Q$60,"С")-INDEX(Норми!$C$12:$I$47,MATCH("Сомельє|С",Норми!$L$12:$L$47,0),MATCH(Q$5,Норми!$C$11:$I$11,0))</f>
        <v>0</v>
      </c>
      <c r="R61" s="40" t="n">
        <f aca="false">COUNTIF(R$59:R$60,"С")-INDEX(Норми!$C$12:$I$47,MATCH("Сомельє|С",Норми!$L$12:$L$47,0),MATCH(R$5,Норми!$C$11:$I$11,0))</f>
        <v>0</v>
      </c>
      <c r="S61" s="40" t="n">
        <f aca="false">COUNTIF(S$59:S$60,"С")-INDEX(Норми!$C$12:$I$47,MATCH("Сомельє|С",Норми!$L$12:$L$47,0),MATCH(S$5,Норми!$C$11:$I$11,0))</f>
        <v>0</v>
      </c>
      <c r="T61" s="40" t="n">
        <f aca="false">COUNTIF(T$59:T$60,"С")-INDEX(Норми!$C$12:$I$47,MATCH("Сомельє|С",Норми!$L$12:$L$47,0),MATCH(T$5,Норми!$C$11:$I$11,0))</f>
        <v>0</v>
      </c>
      <c r="U61" s="40" t="n">
        <f aca="false">COUNTIF(U$59:U$60,"С")-INDEX(Норми!$C$12:$I$47,MATCH("Сомельє|С",Норми!$L$12:$L$47,0),MATCH(U$5,Норми!$C$11:$I$11,0))</f>
        <v>0</v>
      </c>
      <c r="V61" s="40" t="n">
        <f aca="false">COUNTIF(V$59:V$60,"С")-INDEX(Норми!$C$12:$I$47,MATCH("Сомельє|С",Норми!$L$12:$L$47,0),MATCH(V$5,Норми!$C$11:$I$11,0))</f>
        <v>0</v>
      </c>
      <c r="W61" s="40" t="n">
        <f aca="false">COUNTIF(W$59:W$60,"С")-INDEX(Норми!$C$12:$I$47,MATCH("Сомельє|С",Норми!$L$12:$L$47,0),MATCH(W$5,Норми!$C$11:$I$11,0))</f>
        <v>0</v>
      </c>
      <c r="X61" s="40" t="n">
        <f aca="false">COUNTIF(X$59:X$60,"С")-INDEX(Норми!$C$12:$I$47,MATCH("Сомельє|С",Норми!$L$12:$L$47,0),MATCH(X$5,Норми!$C$11:$I$11,0))</f>
        <v>0</v>
      </c>
      <c r="Y61" s="40" t="n">
        <f aca="false">COUNTIF(Y$59:Y$60,"С")-INDEX(Норми!$C$12:$I$47,MATCH("Сомельє|С",Норми!$L$12:$L$47,0),MATCH(Y$5,Норми!$C$11:$I$11,0))</f>
        <v>0</v>
      </c>
      <c r="Z61" s="40" t="n">
        <f aca="false">COUNTIF(Z$59:Z$60,"С")-INDEX(Норми!$C$12:$I$47,MATCH("Сомельє|С",Норми!$L$12:$L$47,0),MATCH(Z$5,Норми!$C$11:$I$11,0))</f>
        <v>0</v>
      </c>
      <c r="AA61" s="40" t="n">
        <f aca="false">COUNTIF(AA$59:AA$60,"С")-INDEX(Норми!$C$12:$I$47,MATCH("Сомельє|С",Норми!$L$12:$L$47,0),MATCH(AA$5,Норми!$C$11:$I$11,0))</f>
        <v>0</v>
      </c>
      <c r="AB61" s="40" t="n">
        <f aca="false">COUNTIF(AB$59:AB$60,"С")-INDEX(Норми!$C$12:$I$47,MATCH("Сомельє|С",Норми!$L$12:$L$47,0),MATCH(AB$5,Норми!$C$11:$I$11,0))</f>
        <v>0</v>
      </c>
      <c r="AC61" s="40" t="n">
        <f aca="false">COUNTIF(AC$59:AC$60,"С")-INDEX(Норми!$C$12:$I$47,MATCH("Сомельє|С",Норми!$L$12:$L$47,0),MATCH(AC$5,Норми!$C$11:$I$11,0))</f>
        <v>0</v>
      </c>
      <c r="AD61" s="40" t="n">
        <f aca="false">COUNTIF(AD$59:AD$60,"С")-INDEX(Норми!$C$12:$I$47,MATCH("Сомельє|С",Норми!$L$12:$L$47,0),MATCH(AD$5,Норми!$C$11:$I$11,0))</f>
        <v>0</v>
      </c>
      <c r="AE61" s="40" t="n">
        <f aca="false">COUNTIF(AE$59:AE$60,"С")-INDEX(Норми!$C$12:$I$47,MATCH("Сомельє|С",Норми!$L$12:$L$47,0),MATCH(AE$5,Норми!$C$11:$I$11,0))</f>
        <v>0</v>
      </c>
      <c r="AF61" s="40" t="n">
        <f aca="false">COUNTIF(AF$59:AF$60,"С")-INDEX(Норми!$C$12:$I$47,MATCH("Сомельє|С",Норми!$L$12:$L$47,0),MATCH(AF$5,Норми!$C$11:$I$11,0))</f>
        <v>0</v>
      </c>
      <c r="AG61" s="40" t="n">
        <f aca="false">COUNTIF(AG$59:AG$60,"С")-INDEX(Норми!$C$12:$I$47,MATCH("Сомельє|С",Норми!$L$12:$L$47,0),MATCH(AG$5,Норми!$C$11:$I$11,0))</f>
        <v>0</v>
      </c>
      <c r="AH61" s="40" t="n">
        <f aca="false">COUNTIF(AH$59:AH$60,"С")-INDEX(Норми!$C$12:$I$47,MATCH("Сомельє|С",Норми!$L$12:$L$47,0),MATCH(AH$5,Норми!$C$11:$I$11,0))</f>
        <v>0</v>
      </c>
    </row>
    <row r="62" customFormat="false" ht="15" hidden="false" customHeight="false" outlineLevel="0" collapsed="false">
      <c r="C62" s="35" t="s">
        <v>141</v>
      </c>
      <c r="D62" s="40" t="n">
        <f aca="false">COUNTIF(D$59:D$60,"В")-INDEX(Норми!$C$12:$I$47,MATCH("Сомельє|В",Норми!$L$12:$L$47,0),MATCH(D$5,Норми!$C$11:$I$11,0))</f>
        <v>0</v>
      </c>
      <c r="E62" s="40" t="n">
        <f aca="false">COUNTIF(E$59:E$60,"В")-INDEX(Норми!$C$12:$I$47,MATCH("Сомельє|В",Норми!$L$12:$L$47,0),MATCH(E$5,Норми!$C$11:$I$11,0))</f>
        <v>0</v>
      </c>
      <c r="F62" s="40" t="n">
        <f aca="false">COUNTIF(F$59:F$60,"В")-INDEX(Норми!$C$12:$I$47,MATCH("Сомельє|В",Норми!$L$12:$L$47,0),MATCH(F$5,Норми!$C$11:$I$11,0))</f>
        <v>0</v>
      </c>
      <c r="G62" s="40" t="n">
        <f aca="false">COUNTIF(G$59:G$60,"В")-INDEX(Норми!$C$12:$I$47,MATCH("Сомельє|В",Норми!$L$12:$L$47,0),MATCH(G$5,Норми!$C$11:$I$11,0))</f>
        <v>0</v>
      </c>
      <c r="H62" s="40" t="n">
        <f aca="false">COUNTIF(H$59:H$60,"В")-INDEX(Норми!$C$12:$I$47,MATCH("Сомельє|В",Норми!$L$12:$L$47,0),MATCH(H$5,Норми!$C$11:$I$11,0))</f>
        <v>0</v>
      </c>
      <c r="I62" s="40" t="n">
        <f aca="false">COUNTIF(I$59:I$60,"В")-INDEX(Норми!$C$12:$I$47,MATCH("Сомельє|В",Норми!$L$12:$L$47,0),MATCH(I$5,Норми!$C$11:$I$11,0))</f>
        <v>0</v>
      </c>
      <c r="J62" s="40" t="n">
        <f aca="false">COUNTIF(J$59:J$60,"В")-INDEX(Норми!$C$12:$I$47,MATCH("Сомельє|В",Норми!$L$12:$L$47,0),MATCH(J$5,Норми!$C$11:$I$11,0))</f>
        <v>0</v>
      </c>
      <c r="K62" s="40" t="n">
        <f aca="false">COUNTIF(K$59:K$60,"В")-INDEX(Норми!$C$12:$I$47,MATCH("Сомельє|В",Норми!$L$12:$L$47,0),MATCH(K$5,Норми!$C$11:$I$11,0))</f>
        <v>0</v>
      </c>
      <c r="L62" s="40" t="n">
        <f aca="false">COUNTIF(L$59:L$60,"В")-INDEX(Норми!$C$12:$I$47,MATCH("Сомельє|В",Норми!$L$12:$L$47,0),MATCH(L$5,Норми!$C$11:$I$11,0))</f>
        <v>0</v>
      </c>
      <c r="M62" s="40" t="n">
        <f aca="false">COUNTIF(M$59:M$60,"В")-INDEX(Норми!$C$12:$I$47,MATCH("Сомельє|В",Норми!$L$12:$L$47,0),MATCH(M$5,Норми!$C$11:$I$11,0))</f>
        <v>0</v>
      </c>
      <c r="N62" s="40" t="n">
        <f aca="false">COUNTIF(N$59:N$60,"В")-INDEX(Норми!$C$12:$I$47,MATCH("Сомельє|В",Норми!$L$12:$L$47,0),MATCH(N$5,Норми!$C$11:$I$11,0))</f>
        <v>0</v>
      </c>
      <c r="O62" s="40" t="n">
        <f aca="false">COUNTIF(O$59:O$60,"В")-INDEX(Норми!$C$12:$I$47,MATCH("Сомельє|В",Норми!$L$12:$L$47,0),MATCH(O$5,Норми!$C$11:$I$11,0))</f>
        <v>0</v>
      </c>
      <c r="P62" s="40" t="n">
        <f aca="false">COUNTIF(P$59:P$60,"В")-INDEX(Норми!$C$12:$I$47,MATCH("Сомельє|В",Норми!$L$12:$L$47,0),MATCH(P$5,Норми!$C$11:$I$11,0))</f>
        <v>0</v>
      </c>
      <c r="Q62" s="40" t="n">
        <f aca="false">COUNTIF(Q$59:Q$60,"В")-INDEX(Норми!$C$12:$I$47,MATCH("Сомельє|В",Норми!$L$12:$L$47,0),MATCH(Q$5,Норми!$C$11:$I$11,0))</f>
        <v>0</v>
      </c>
      <c r="R62" s="40" t="n">
        <f aca="false">COUNTIF(R$59:R$60,"В")-INDEX(Норми!$C$12:$I$47,MATCH("Сомельє|В",Норми!$L$12:$L$47,0),MATCH(R$5,Норми!$C$11:$I$11,0))</f>
        <v>0</v>
      </c>
      <c r="S62" s="40" t="n">
        <f aca="false">COUNTIF(S$59:S$60,"В")-INDEX(Норми!$C$12:$I$47,MATCH("Сомельє|В",Норми!$L$12:$L$47,0),MATCH(S$5,Норми!$C$11:$I$11,0))</f>
        <v>0</v>
      </c>
      <c r="T62" s="40" t="n">
        <f aca="false">COUNTIF(T$59:T$60,"В")-INDEX(Норми!$C$12:$I$47,MATCH("Сомельє|В",Норми!$L$12:$L$47,0),MATCH(T$5,Норми!$C$11:$I$11,0))</f>
        <v>0</v>
      </c>
      <c r="U62" s="40" t="n">
        <f aca="false">COUNTIF(U$59:U$60,"В")-INDEX(Норми!$C$12:$I$47,MATCH("Сомельє|В",Норми!$L$12:$L$47,0),MATCH(U$5,Норми!$C$11:$I$11,0))</f>
        <v>0</v>
      </c>
      <c r="V62" s="40" t="n">
        <f aca="false">COUNTIF(V$59:V$60,"В")-INDEX(Норми!$C$12:$I$47,MATCH("Сомельє|В",Норми!$L$12:$L$47,0),MATCH(V$5,Норми!$C$11:$I$11,0))</f>
        <v>0</v>
      </c>
      <c r="W62" s="40" t="n">
        <f aca="false">COUNTIF(W$59:W$60,"В")-INDEX(Норми!$C$12:$I$47,MATCH("Сомельє|В",Норми!$L$12:$L$47,0),MATCH(W$5,Норми!$C$11:$I$11,0))</f>
        <v>0</v>
      </c>
      <c r="X62" s="40" t="n">
        <f aca="false">COUNTIF(X$59:X$60,"В")-INDEX(Норми!$C$12:$I$47,MATCH("Сомельє|В",Норми!$L$12:$L$47,0),MATCH(X$5,Норми!$C$11:$I$11,0))</f>
        <v>0</v>
      </c>
      <c r="Y62" s="40" t="n">
        <f aca="false">COUNTIF(Y$59:Y$60,"В")-INDEX(Норми!$C$12:$I$47,MATCH("Сомельє|В",Норми!$L$12:$L$47,0),MATCH(Y$5,Норми!$C$11:$I$11,0))</f>
        <v>0</v>
      </c>
      <c r="Z62" s="40" t="n">
        <f aca="false">COUNTIF(Z$59:Z$60,"В")-INDEX(Норми!$C$12:$I$47,MATCH("Сомельє|В",Норми!$L$12:$L$47,0),MATCH(Z$5,Норми!$C$11:$I$11,0))</f>
        <v>0</v>
      </c>
      <c r="AA62" s="40" t="n">
        <f aca="false">COUNTIF(AA$59:AA$60,"В")-INDEX(Норми!$C$12:$I$47,MATCH("Сомельє|В",Норми!$L$12:$L$47,0),MATCH(AA$5,Норми!$C$11:$I$11,0))</f>
        <v>0</v>
      </c>
      <c r="AB62" s="40" t="n">
        <f aca="false">COUNTIF(AB$59:AB$60,"В")-INDEX(Норми!$C$12:$I$47,MATCH("Сомельє|В",Норми!$L$12:$L$47,0),MATCH(AB$5,Норми!$C$11:$I$11,0))</f>
        <v>0</v>
      </c>
      <c r="AC62" s="40" t="n">
        <f aca="false">COUNTIF(AC$59:AC$60,"В")-INDEX(Норми!$C$12:$I$47,MATCH("Сомельє|В",Норми!$L$12:$L$47,0),MATCH(AC$5,Норми!$C$11:$I$11,0))</f>
        <v>0</v>
      </c>
      <c r="AD62" s="40" t="n">
        <f aca="false">COUNTIF(AD$59:AD$60,"В")-INDEX(Норми!$C$12:$I$47,MATCH("Сомельє|В",Норми!$L$12:$L$47,0),MATCH(AD$5,Норми!$C$11:$I$11,0))</f>
        <v>0</v>
      </c>
      <c r="AE62" s="40" t="n">
        <f aca="false">COUNTIF(AE$59:AE$60,"В")-INDEX(Норми!$C$12:$I$47,MATCH("Сомельє|В",Норми!$L$12:$L$47,0),MATCH(AE$5,Норми!$C$11:$I$11,0))</f>
        <v>0</v>
      </c>
      <c r="AF62" s="40" t="n">
        <f aca="false">COUNTIF(AF$59:AF$60,"В")-INDEX(Норми!$C$12:$I$47,MATCH("Сомельє|В",Норми!$L$12:$L$47,0),MATCH(AF$5,Норми!$C$11:$I$11,0))</f>
        <v>0</v>
      </c>
      <c r="AG62" s="40" t="n">
        <f aca="false">COUNTIF(AG$59:AG$60,"В")-INDEX(Норми!$C$12:$I$47,MATCH("Сомельє|В",Норми!$L$12:$L$47,0),MATCH(AG$5,Норми!$C$11:$I$11,0))</f>
        <v>0</v>
      </c>
      <c r="AH62" s="40" t="n">
        <f aca="false">COUNTIF(AH$59:AH$60,"В")-INDEX(Норми!$C$12:$I$47,MATCH("Сомельє|В",Норми!$L$12:$L$47,0),MATCH(AH$5,Норми!$C$11:$I$11,0))</f>
        <v>0</v>
      </c>
    </row>
    <row r="64" customFormat="false" ht="15" hidden="false" customHeight="false" outlineLevel="0" collapsed="false">
      <c r="A64" s="21" t="s">
        <v>171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</row>
    <row r="65" customFormat="false" ht="15" hidden="false" customHeight="false" outlineLevel="0" collapsed="false">
      <c r="A65" s="8" t="n">
        <v>27</v>
      </c>
      <c r="B65" s="7" t="s">
        <v>97</v>
      </c>
      <c r="C65" s="37" t="s">
        <v>172</v>
      </c>
      <c r="D65" s="38" t="s">
        <v>49</v>
      </c>
      <c r="E65" s="38"/>
      <c r="F65" s="38"/>
      <c r="G65" s="38"/>
      <c r="H65" s="38"/>
      <c r="I65" s="38"/>
      <c r="J65" s="38" t="s">
        <v>41</v>
      </c>
      <c r="K65" s="38" t="s">
        <v>41</v>
      </c>
      <c r="L65" s="38" t="s">
        <v>41</v>
      </c>
      <c r="M65" s="38" t="s">
        <v>55</v>
      </c>
      <c r="N65" s="38"/>
      <c r="O65" s="38"/>
      <c r="P65" s="38" t="s">
        <v>41</v>
      </c>
      <c r="Q65" s="38" t="s">
        <v>41</v>
      </c>
      <c r="R65" s="38" t="s">
        <v>41</v>
      </c>
      <c r="S65" s="38" t="s">
        <v>41</v>
      </c>
      <c r="T65" s="38" t="s">
        <v>55</v>
      </c>
      <c r="U65" s="38"/>
      <c r="V65" s="38" t="s">
        <v>41</v>
      </c>
      <c r="W65" s="38"/>
      <c r="X65" s="38"/>
      <c r="Y65" s="38" t="s">
        <v>49</v>
      </c>
      <c r="Z65" s="38"/>
      <c r="AA65" s="38" t="s">
        <v>55</v>
      </c>
      <c r="AB65" s="38"/>
      <c r="AC65" s="38"/>
      <c r="AD65" s="38" t="s">
        <v>41</v>
      </c>
      <c r="AE65" s="38" t="s">
        <v>41</v>
      </c>
      <c r="AF65" s="38" t="s">
        <v>41</v>
      </c>
      <c r="AG65" s="38" t="s">
        <v>41</v>
      </c>
      <c r="AH65" s="38" t="s">
        <v>41</v>
      </c>
      <c r="AI65" s="8" t="n">
        <f aca="false">COUNTA(D65:AH65)</f>
        <v>18</v>
      </c>
      <c r="AJ65" s="39" t="n">
        <f aca="false">SUMPRODUCT((D65:AH65="Р")*$D$7:$AH$7)+SUMPRODUCT((D65:AH65="С")*$D$8:$AH$8)+SUMPRODUCT((D65:AH65="В")*$D$9:$AH$9)+SUMPRODUCT((D65:AH65="П")*$D$10:$AH$10)</f>
        <v>130.5</v>
      </c>
      <c r="AK65" s="8" t="n">
        <f aca="false">COLUMNS(D65:AH65)-AI65</f>
        <v>13</v>
      </c>
      <c r="AL65" s="8" t="n">
        <f aca="false">SUMPRODUCT((D65:AH65&lt;&gt;"")*(($D$5:$AH$5="Пт")+($D$5:$AH$5="Сб")))</f>
        <v>7</v>
      </c>
      <c r="AM65" s="26" t="n">
        <f aca="false">AJ65-Зміни!$C$19</f>
        <v>-45.5</v>
      </c>
    </row>
    <row r="66" customFormat="false" ht="15" hidden="false" customHeight="false" outlineLevel="0" collapsed="false">
      <c r="A66" s="8" t="n">
        <v>28</v>
      </c>
      <c r="B66" s="7" t="s">
        <v>97</v>
      </c>
      <c r="C66" s="37" t="s">
        <v>173</v>
      </c>
      <c r="D66" s="38" t="s">
        <v>41</v>
      </c>
      <c r="E66" s="38" t="s">
        <v>55</v>
      </c>
      <c r="F66" s="38" t="s">
        <v>55</v>
      </c>
      <c r="G66" s="38"/>
      <c r="H66" s="38" t="s">
        <v>41</v>
      </c>
      <c r="I66" s="38" t="s">
        <v>41</v>
      </c>
      <c r="J66" s="38"/>
      <c r="K66" s="38"/>
      <c r="L66" s="38"/>
      <c r="M66" s="38" t="s">
        <v>41</v>
      </c>
      <c r="N66" s="38" t="s">
        <v>41</v>
      </c>
      <c r="O66" s="38"/>
      <c r="P66" s="38"/>
      <c r="Q66" s="38" t="s">
        <v>49</v>
      </c>
      <c r="R66" s="38" t="s">
        <v>49</v>
      </c>
      <c r="S66" s="38" t="s">
        <v>49</v>
      </c>
      <c r="T66" s="38" t="s">
        <v>49</v>
      </c>
      <c r="U66" s="38" t="s">
        <v>49</v>
      </c>
      <c r="V66" s="38"/>
      <c r="W66" s="38"/>
      <c r="X66" s="38" t="s">
        <v>41</v>
      </c>
      <c r="Y66" s="38" t="s">
        <v>41</v>
      </c>
      <c r="Z66" s="38" t="s">
        <v>41</v>
      </c>
      <c r="AA66" s="38" t="s">
        <v>41</v>
      </c>
      <c r="AB66" s="38"/>
      <c r="AC66" s="38"/>
      <c r="AD66" s="38"/>
      <c r="AE66" s="38"/>
      <c r="AF66" s="38" t="s">
        <v>49</v>
      </c>
      <c r="AG66" s="38" t="s">
        <v>49</v>
      </c>
      <c r="AH66" s="38"/>
      <c r="AI66" s="8" t="n">
        <f aca="false">COUNTA(D66:AH66)</f>
        <v>18</v>
      </c>
      <c r="AJ66" s="39" t="n">
        <f aca="false">SUMPRODUCT((D66:AH66="Р")*$D$7:$AH$7)+SUMPRODUCT((D66:AH66="С")*$D$8:$AH$8)+SUMPRODUCT((D66:AH66="В")*$D$9:$AH$9)+SUMPRODUCT((D66:AH66="П")*$D$10:$AH$10)</f>
        <v>131.5</v>
      </c>
      <c r="AK66" s="8" t="n">
        <f aca="false">COLUMNS(D66:AH66)-AI66</f>
        <v>13</v>
      </c>
      <c r="AL66" s="8" t="n">
        <f aca="false">SUMPRODUCT((D66:AH66&lt;&gt;"")*(($D$5:$AH$5="Пт")+($D$5:$AH$5="Сб")))</f>
        <v>8</v>
      </c>
      <c r="AM66" s="26" t="n">
        <f aca="false">AJ66-Зміни!$C$19</f>
        <v>-44.5</v>
      </c>
    </row>
    <row r="67" customFormat="false" ht="15" hidden="false" customHeight="false" outlineLevel="0" collapsed="false">
      <c r="A67" s="8" t="n">
        <v>29</v>
      </c>
      <c r="B67" s="7" t="s">
        <v>97</v>
      </c>
      <c r="C67" s="37" t="s">
        <v>174</v>
      </c>
      <c r="D67" s="38"/>
      <c r="E67" s="38" t="s">
        <v>49</v>
      </c>
      <c r="F67" s="38" t="s">
        <v>49</v>
      </c>
      <c r="G67" s="38" t="s">
        <v>49</v>
      </c>
      <c r="H67" s="38" t="s">
        <v>49</v>
      </c>
      <c r="I67" s="38" t="s">
        <v>49</v>
      </c>
      <c r="J67" s="38"/>
      <c r="K67" s="38"/>
      <c r="L67" s="38" t="s">
        <v>49</v>
      </c>
      <c r="M67" s="38" t="s">
        <v>49</v>
      </c>
      <c r="N67" s="38" t="s">
        <v>49</v>
      </c>
      <c r="O67" s="38" t="s">
        <v>49</v>
      </c>
      <c r="P67" s="38" t="s">
        <v>49</v>
      </c>
      <c r="Q67" s="38"/>
      <c r="R67" s="38"/>
      <c r="S67" s="38" t="s">
        <v>55</v>
      </c>
      <c r="T67" s="38"/>
      <c r="U67" s="38"/>
      <c r="V67" s="38"/>
      <c r="W67" s="38" t="s">
        <v>41</v>
      </c>
      <c r="X67" s="38"/>
      <c r="Y67" s="38"/>
      <c r="Z67" s="38" t="s">
        <v>55</v>
      </c>
      <c r="AA67" s="38"/>
      <c r="AB67" s="38" t="s">
        <v>41</v>
      </c>
      <c r="AC67" s="38" t="s">
        <v>41</v>
      </c>
      <c r="AD67" s="38" t="s">
        <v>49</v>
      </c>
      <c r="AE67" s="38" t="s">
        <v>49</v>
      </c>
      <c r="AF67" s="38"/>
      <c r="AG67" s="38"/>
      <c r="AH67" s="38" t="s">
        <v>49</v>
      </c>
      <c r="AI67" s="8" t="n">
        <f aca="false">COUNTA(D67:AH67)</f>
        <v>18</v>
      </c>
      <c r="AJ67" s="39" t="n">
        <f aca="false">SUMPRODUCT((D67:AH67="Р")*$D$7:$AH$7)+SUMPRODUCT((D67:AH67="С")*$D$8:$AH$8)+SUMPRODUCT((D67:AH67="В")*$D$9:$AH$9)+SUMPRODUCT((D67:AH67="П")*$D$10:$AH$10)</f>
        <v>131</v>
      </c>
      <c r="AK67" s="8" t="n">
        <f aca="false">COLUMNS(D67:AH67)-AI67</f>
        <v>13</v>
      </c>
      <c r="AL67" s="8" t="n">
        <f aca="false">SUMPRODUCT((D67:AH67&lt;&gt;"")*(($D$5:$AH$5="Пт")+($D$5:$AH$5="Сб")))</f>
        <v>7</v>
      </c>
      <c r="AM67" s="26" t="n">
        <f aca="false">AJ67-Зміни!$C$19</f>
        <v>-45</v>
      </c>
    </row>
    <row r="68" customFormat="false" ht="15" hidden="false" customHeight="false" outlineLevel="0" collapsed="false">
      <c r="A68" s="8" t="n">
        <v>30</v>
      </c>
      <c r="B68" s="7" t="s">
        <v>97</v>
      </c>
      <c r="C68" s="37" t="s">
        <v>175</v>
      </c>
      <c r="D68" s="38"/>
      <c r="E68" s="38" t="s">
        <v>41</v>
      </c>
      <c r="F68" s="38" t="s">
        <v>41</v>
      </c>
      <c r="G68" s="38" t="s">
        <v>41</v>
      </c>
      <c r="H68" s="38"/>
      <c r="I68" s="38"/>
      <c r="J68" s="38" t="s">
        <v>49</v>
      </c>
      <c r="K68" s="38" t="s">
        <v>49</v>
      </c>
      <c r="L68" s="38" t="s">
        <v>55</v>
      </c>
      <c r="M68" s="38"/>
      <c r="N68" s="38"/>
      <c r="O68" s="38" t="s">
        <v>41</v>
      </c>
      <c r="P68" s="38"/>
      <c r="Q68" s="38"/>
      <c r="R68" s="38"/>
      <c r="S68" s="38"/>
      <c r="T68" s="38" t="s">
        <v>41</v>
      </c>
      <c r="U68" s="38" t="s">
        <v>41</v>
      </c>
      <c r="V68" s="38" t="s">
        <v>49</v>
      </c>
      <c r="W68" s="38" t="s">
        <v>49</v>
      </c>
      <c r="X68" s="38" t="s">
        <v>49</v>
      </c>
      <c r="Y68" s="38"/>
      <c r="Z68" s="38" t="s">
        <v>49</v>
      </c>
      <c r="AA68" s="38" t="s">
        <v>49</v>
      </c>
      <c r="AB68" s="38" t="s">
        <v>49</v>
      </c>
      <c r="AC68" s="38" t="s">
        <v>49</v>
      </c>
      <c r="AD68" s="38"/>
      <c r="AE68" s="38"/>
      <c r="AF68" s="38"/>
      <c r="AG68" s="38" t="s">
        <v>55</v>
      </c>
      <c r="AH68" s="38" t="s">
        <v>55</v>
      </c>
      <c r="AI68" s="8" t="n">
        <f aca="false">COUNTA(D68:AH68)</f>
        <v>18</v>
      </c>
      <c r="AJ68" s="39" t="n">
        <f aca="false">SUMPRODUCT((D68:AH68="Р")*$D$7:$AH$7)+SUMPRODUCT((D68:AH68="С")*$D$8:$AH$8)+SUMPRODUCT((D68:AH68="В")*$D$9:$AH$9)+SUMPRODUCT((D68:AH68="П")*$D$10:$AH$10)</f>
        <v>130</v>
      </c>
      <c r="AK68" s="8" t="n">
        <f aca="false">COLUMNS(D68:AH68)-AI68</f>
        <v>13</v>
      </c>
      <c r="AL68" s="8" t="n">
        <f aca="false">SUMPRODUCT((D68:AH68&lt;&gt;"")*(($D$5:$AH$5="Пт")+($D$5:$AH$5="Сб")))</f>
        <v>8</v>
      </c>
      <c r="AM68" s="26" t="n">
        <f aca="false">AJ68-Зміни!$C$19</f>
        <v>-46</v>
      </c>
    </row>
    <row r="69" customFormat="false" ht="15" hidden="false" customHeight="false" outlineLevel="0" collapsed="false">
      <c r="C69" s="35" t="s">
        <v>140</v>
      </c>
      <c r="D69" s="40" t="n">
        <f aca="false">COUNTIF(D$65:D$68,"Р")-INDEX(Норми!$C$12:$I$47,MATCH("Бармен|Р",Норми!$L$12:$L$47,0),MATCH(D$5,Норми!$C$11:$I$11,0))</f>
        <v>0</v>
      </c>
      <c r="E69" s="40" t="n">
        <f aca="false">COUNTIF(E$65:E$68,"Р")-INDEX(Норми!$C$12:$I$47,MATCH("Бармен|Р",Норми!$L$12:$L$47,0),MATCH(E$5,Норми!$C$11:$I$11,0))</f>
        <v>0</v>
      </c>
      <c r="F69" s="40" t="n">
        <f aca="false">COUNTIF(F$65:F$68,"Р")-INDEX(Норми!$C$12:$I$47,MATCH("Бармен|Р",Норми!$L$12:$L$47,0),MATCH(F$5,Норми!$C$11:$I$11,0))</f>
        <v>0</v>
      </c>
      <c r="G69" s="40" t="n">
        <f aca="false">COUNTIF(G$65:G$68,"Р")-INDEX(Норми!$C$12:$I$47,MATCH("Бармен|Р",Норми!$L$12:$L$47,0),MATCH(G$5,Норми!$C$11:$I$11,0))</f>
        <v>0</v>
      </c>
      <c r="H69" s="40" t="n">
        <f aca="false">COUNTIF(H$65:H$68,"Р")-INDEX(Норми!$C$12:$I$47,MATCH("Бармен|Р",Норми!$L$12:$L$47,0),MATCH(H$5,Норми!$C$11:$I$11,0))</f>
        <v>0</v>
      </c>
      <c r="I69" s="40" t="n">
        <f aca="false">COUNTIF(I$65:I$68,"Р")-INDEX(Норми!$C$12:$I$47,MATCH("Бармен|Р",Норми!$L$12:$L$47,0),MATCH(I$5,Норми!$C$11:$I$11,0))</f>
        <v>0</v>
      </c>
      <c r="J69" s="40" t="n">
        <f aca="false">COUNTIF(J$65:J$68,"Р")-INDEX(Норми!$C$12:$I$47,MATCH("Бармен|Р",Норми!$L$12:$L$47,0),MATCH(J$5,Норми!$C$11:$I$11,0))</f>
        <v>0</v>
      </c>
      <c r="K69" s="40" t="n">
        <f aca="false">COUNTIF(K$65:K$68,"Р")-INDEX(Норми!$C$12:$I$47,MATCH("Бармен|Р",Норми!$L$12:$L$47,0),MATCH(K$5,Норми!$C$11:$I$11,0))</f>
        <v>0</v>
      </c>
      <c r="L69" s="40" t="n">
        <f aca="false">COUNTIF(L$65:L$68,"Р")-INDEX(Норми!$C$12:$I$47,MATCH("Бармен|Р",Норми!$L$12:$L$47,0),MATCH(L$5,Норми!$C$11:$I$11,0))</f>
        <v>0</v>
      </c>
      <c r="M69" s="40" t="n">
        <f aca="false">COUNTIF(M$65:M$68,"Р")-INDEX(Норми!$C$12:$I$47,MATCH("Бармен|Р",Норми!$L$12:$L$47,0),MATCH(M$5,Норми!$C$11:$I$11,0))</f>
        <v>0</v>
      </c>
      <c r="N69" s="40" t="n">
        <f aca="false">COUNTIF(N$65:N$68,"Р")-INDEX(Норми!$C$12:$I$47,MATCH("Бармен|Р",Норми!$L$12:$L$47,0),MATCH(N$5,Норми!$C$11:$I$11,0))</f>
        <v>0</v>
      </c>
      <c r="O69" s="40" t="n">
        <f aca="false">COUNTIF(O$65:O$68,"Р")-INDEX(Норми!$C$12:$I$47,MATCH("Бармен|Р",Норми!$L$12:$L$47,0),MATCH(O$5,Норми!$C$11:$I$11,0))</f>
        <v>0</v>
      </c>
      <c r="P69" s="40" t="n">
        <f aca="false">COUNTIF(P$65:P$68,"Р")-INDEX(Норми!$C$12:$I$47,MATCH("Бармен|Р",Норми!$L$12:$L$47,0),MATCH(P$5,Норми!$C$11:$I$11,0))</f>
        <v>0</v>
      </c>
      <c r="Q69" s="40" t="n">
        <f aca="false">COUNTIF(Q$65:Q$68,"Р")-INDEX(Норми!$C$12:$I$47,MATCH("Бармен|Р",Норми!$L$12:$L$47,0),MATCH(Q$5,Норми!$C$11:$I$11,0))</f>
        <v>0</v>
      </c>
      <c r="R69" s="40" t="n">
        <f aca="false">COUNTIF(R$65:R$68,"Р")-INDEX(Норми!$C$12:$I$47,MATCH("Бармен|Р",Норми!$L$12:$L$47,0),MATCH(R$5,Норми!$C$11:$I$11,0))</f>
        <v>0</v>
      </c>
      <c r="S69" s="40" t="n">
        <f aca="false">COUNTIF(S$65:S$68,"Р")-INDEX(Норми!$C$12:$I$47,MATCH("Бармен|Р",Норми!$L$12:$L$47,0),MATCH(S$5,Норми!$C$11:$I$11,0))</f>
        <v>0</v>
      </c>
      <c r="T69" s="40" t="n">
        <f aca="false">COUNTIF(T$65:T$68,"Р")-INDEX(Норми!$C$12:$I$47,MATCH("Бармен|Р",Норми!$L$12:$L$47,0),MATCH(T$5,Норми!$C$11:$I$11,0))</f>
        <v>0</v>
      </c>
      <c r="U69" s="40" t="n">
        <f aca="false">COUNTIF(U$65:U$68,"Р")-INDEX(Норми!$C$12:$I$47,MATCH("Бармен|Р",Норми!$L$12:$L$47,0),MATCH(U$5,Норми!$C$11:$I$11,0))</f>
        <v>0</v>
      </c>
      <c r="V69" s="40" t="n">
        <f aca="false">COUNTIF(V$65:V$68,"Р")-INDEX(Норми!$C$12:$I$47,MATCH("Бармен|Р",Норми!$L$12:$L$47,0),MATCH(V$5,Норми!$C$11:$I$11,0))</f>
        <v>0</v>
      </c>
      <c r="W69" s="40" t="n">
        <f aca="false">COUNTIF(W$65:W$68,"Р")-INDEX(Норми!$C$12:$I$47,MATCH("Бармен|Р",Норми!$L$12:$L$47,0),MATCH(W$5,Норми!$C$11:$I$11,0))</f>
        <v>0</v>
      </c>
      <c r="X69" s="40" t="n">
        <f aca="false">COUNTIF(X$65:X$68,"Р")-INDEX(Норми!$C$12:$I$47,MATCH("Бармен|Р",Норми!$L$12:$L$47,0),MATCH(X$5,Норми!$C$11:$I$11,0))</f>
        <v>0</v>
      </c>
      <c r="Y69" s="40" t="n">
        <f aca="false">COUNTIF(Y$65:Y$68,"Р")-INDEX(Норми!$C$12:$I$47,MATCH("Бармен|Р",Норми!$L$12:$L$47,0),MATCH(Y$5,Норми!$C$11:$I$11,0))</f>
        <v>0</v>
      </c>
      <c r="Z69" s="40" t="n">
        <f aca="false">COUNTIF(Z$65:Z$68,"Р")-INDEX(Норми!$C$12:$I$47,MATCH("Бармен|Р",Норми!$L$12:$L$47,0),MATCH(Z$5,Норми!$C$11:$I$11,0))</f>
        <v>0</v>
      </c>
      <c r="AA69" s="40" t="n">
        <f aca="false">COUNTIF(AA$65:AA$68,"Р")-INDEX(Норми!$C$12:$I$47,MATCH("Бармен|Р",Норми!$L$12:$L$47,0),MATCH(AA$5,Норми!$C$11:$I$11,0))</f>
        <v>0</v>
      </c>
      <c r="AB69" s="40" t="n">
        <f aca="false">COUNTIF(AB$65:AB$68,"Р")-INDEX(Норми!$C$12:$I$47,MATCH("Бармен|Р",Норми!$L$12:$L$47,0),MATCH(AB$5,Норми!$C$11:$I$11,0))</f>
        <v>0</v>
      </c>
      <c r="AC69" s="40" t="n">
        <f aca="false">COUNTIF(AC$65:AC$68,"Р")-INDEX(Норми!$C$12:$I$47,MATCH("Бармен|Р",Норми!$L$12:$L$47,0),MATCH(AC$5,Норми!$C$11:$I$11,0))</f>
        <v>0</v>
      </c>
      <c r="AD69" s="40" t="n">
        <f aca="false">COUNTIF(AD$65:AD$68,"Р")-INDEX(Норми!$C$12:$I$47,MATCH("Бармен|Р",Норми!$L$12:$L$47,0),MATCH(AD$5,Норми!$C$11:$I$11,0))</f>
        <v>0</v>
      </c>
      <c r="AE69" s="40" t="n">
        <f aca="false">COUNTIF(AE$65:AE$68,"Р")-INDEX(Норми!$C$12:$I$47,MATCH("Бармен|Р",Норми!$L$12:$L$47,0),MATCH(AE$5,Норми!$C$11:$I$11,0))</f>
        <v>0</v>
      </c>
      <c r="AF69" s="40" t="n">
        <f aca="false">COUNTIF(AF$65:AF$68,"Р")-INDEX(Норми!$C$12:$I$47,MATCH("Бармен|Р",Норми!$L$12:$L$47,0),MATCH(AF$5,Норми!$C$11:$I$11,0))</f>
        <v>0</v>
      </c>
      <c r="AG69" s="40" t="n">
        <f aca="false">COUNTIF(AG$65:AG$68,"Р")-INDEX(Норми!$C$12:$I$47,MATCH("Бармен|Р",Норми!$L$12:$L$47,0),MATCH(AG$5,Норми!$C$11:$I$11,0))</f>
        <v>0</v>
      </c>
      <c r="AH69" s="40" t="n">
        <f aca="false">COUNTIF(AH$65:AH$68,"Р")-INDEX(Норми!$C$12:$I$47,MATCH("Бармен|Р",Норми!$L$12:$L$47,0),MATCH(AH$5,Норми!$C$11:$I$11,0))</f>
        <v>0</v>
      </c>
    </row>
    <row r="70" customFormat="false" ht="15" hidden="false" customHeight="false" outlineLevel="0" collapsed="false">
      <c r="C70" s="35" t="s">
        <v>141</v>
      </c>
      <c r="D70" s="40" t="n">
        <f aca="false">COUNTIF(D$65:D$68,"В")-INDEX(Норми!$C$12:$I$47,MATCH("Бармен|В",Норми!$L$12:$L$47,0),MATCH(D$5,Норми!$C$11:$I$11,0))</f>
        <v>0</v>
      </c>
      <c r="E70" s="40" t="n">
        <f aca="false">COUNTIF(E$65:E$68,"В")-INDEX(Норми!$C$12:$I$47,MATCH("Бармен|В",Норми!$L$12:$L$47,0),MATCH(E$5,Норми!$C$11:$I$11,0))</f>
        <v>0</v>
      </c>
      <c r="F70" s="40" t="n">
        <f aca="false">COUNTIF(F$65:F$68,"В")-INDEX(Норми!$C$12:$I$47,MATCH("Бармен|В",Норми!$L$12:$L$47,0),MATCH(F$5,Норми!$C$11:$I$11,0))</f>
        <v>0</v>
      </c>
      <c r="G70" s="40" t="n">
        <f aca="false">COUNTIF(G$65:G$68,"В")-INDEX(Норми!$C$12:$I$47,MATCH("Бармен|В",Норми!$L$12:$L$47,0),MATCH(G$5,Норми!$C$11:$I$11,0))</f>
        <v>0</v>
      </c>
      <c r="H70" s="40" t="n">
        <f aca="false">COUNTIF(H$65:H$68,"В")-INDEX(Норми!$C$12:$I$47,MATCH("Бармен|В",Норми!$L$12:$L$47,0),MATCH(H$5,Норми!$C$11:$I$11,0))</f>
        <v>0</v>
      </c>
      <c r="I70" s="40" t="n">
        <f aca="false">COUNTIF(I$65:I$68,"В")-INDEX(Норми!$C$12:$I$47,MATCH("Бармен|В",Норми!$L$12:$L$47,0),MATCH(I$5,Норми!$C$11:$I$11,0))</f>
        <v>0</v>
      </c>
      <c r="J70" s="40" t="n">
        <f aca="false">COUNTIF(J$65:J$68,"В")-INDEX(Норми!$C$12:$I$47,MATCH("Бармен|В",Норми!$L$12:$L$47,0),MATCH(J$5,Норми!$C$11:$I$11,0))</f>
        <v>0</v>
      </c>
      <c r="K70" s="40" t="n">
        <f aca="false">COUNTIF(K$65:K$68,"В")-INDEX(Норми!$C$12:$I$47,MATCH("Бармен|В",Норми!$L$12:$L$47,0),MATCH(K$5,Норми!$C$11:$I$11,0))</f>
        <v>0</v>
      </c>
      <c r="L70" s="40" t="n">
        <f aca="false">COUNTIF(L$65:L$68,"В")-INDEX(Норми!$C$12:$I$47,MATCH("Бармен|В",Норми!$L$12:$L$47,0),MATCH(L$5,Норми!$C$11:$I$11,0))</f>
        <v>0</v>
      </c>
      <c r="M70" s="40" t="n">
        <f aca="false">COUNTIF(M$65:M$68,"В")-INDEX(Норми!$C$12:$I$47,MATCH("Бармен|В",Норми!$L$12:$L$47,0),MATCH(M$5,Норми!$C$11:$I$11,0))</f>
        <v>0</v>
      </c>
      <c r="N70" s="40" t="n">
        <f aca="false">COUNTIF(N$65:N$68,"В")-INDEX(Норми!$C$12:$I$47,MATCH("Бармен|В",Норми!$L$12:$L$47,0),MATCH(N$5,Норми!$C$11:$I$11,0))</f>
        <v>0</v>
      </c>
      <c r="O70" s="40" t="n">
        <f aca="false">COUNTIF(O$65:O$68,"В")-INDEX(Норми!$C$12:$I$47,MATCH("Бармен|В",Норми!$L$12:$L$47,0),MATCH(O$5,Норми!$C$11:$I$11,0))</f>
        <v>0</v>
      </c>
      <c r="P70" s="40" t="n">
        <f aca="false">COUNTIF(P$65:P$68,"В")-INDEX(Норми!$C$12:$I$47,MATCH("Бармен|В",Норми!$L$12:$L$47,0),MATCH(P$5,Норми!$C$11:$I$11,0))</f>
        <v>0</v>
      </c>
      <c r="Q70" s="40" t="n">
        <f aca="false">COUNTIF(Q$65:Q$68,"В")-INDEX(Норми!$C$12:$I$47,MATCH("Бармен|В",Норми!$L$12:$L$47,0),MATCH(Q$5,Норми!$C$11:$I$11,0))</f>
        <v>0</v>
      </c>
      <c r="R70" s="40" t="n">
        <f aca="false">COUNTIF(R$65:R$68,"В")-INDEX(Норми!$C$12:$I$47,MATCH("Бармен|В",Норми!$L$12:$L$47,0),MATCH(R$5,Норми!$C$11:$I$11,0))</f>
        <v>0</v>
      </c>
      <c r="S70" s="40" t="n">
        <f aca="false">COUNTIF(S$65:S$68,"В")-INDEX(Норми!$C$12:$I$47,MATCH("Бармен|В",Норми!$L$12:$L$47,0),MATCH(S$5,Норми!$C$11:$I$11,0))</f>
        <v>0</v>
      </c>
      <c r="T70" s="40" t="n">
        <f aca="false">COUNTIF(T$65:T$68,"В")-INDEX(Норми!$C$12:$I$47,MATCH("Бармен|В",Норми!$L$12:$L$47,0),MATCH(T$5,Норми!$C$11:$I$11,0))</f>
        <v>0</v>
      </c>
      <c r="U70" s="40" t="n">
        <f aca="false">COUNTIF(U$65:U$68,"В")-INDEX(Норми!$C$12:$I$47,MATCH("Бармен|В",Норми!$L$12:$L$47,0),MATCH(U$5,Норми!$C$11:$I$11,0))</f>
        <v>0</v>
      </c>
      <c r="V70" s="40" t="n">
        <f aca="false">COUNTIF(V$65:V$68,"В")-INDEX(Норми!$C$12:$I$47,MATCH("Бармен|В",Норми!$L$12:$L$47,0),MATCH(V$5,Норми!$C$11:$I$11,0))</f>
        <v>0</v>
      </c>
      <c r="W70" s="40" t="n">
        <f aca="false">COUNTIF(W$65:W$68,"В")-INDEX(Норми!$C$12:$I$47,MATCH("Бармен|В",Норми!$L$12:$L$47,0),MATCH(W$5,Норми!$C$11:$I$11,0))</f>
        <v>0</v>
      </c>
      <c r="X70" s="40" t="n">
        <f aca="false">COUNTIF(X$65:X$68,"В")-INDEX(Норми!$C$12:$I$47,MATCH("Бармен|В",Норми!$L$12:$L$47,0),MATCH(X$5,Норми!$C$11:$I$11,0))</f>
        <v>0</v>
      </c>
      <c r="Y70" s="40" t="n">
        <f aca="false">COUNTIF(Y$65:Y$68,"В")-INDEX(Норми!$C$12:$I$47,MATCH("Бармен|В",Норми!$L$12:$L$47,0),MATCH(Y$5,Норми!$C$11:$I$11,0))</f>
        <v>0</v>
      </c>
      <c r="Z70" s="40" t="n">
        <f aca="false">COUNTIF(Z$65:Z$68,"В")-INDEX(Норми!$C$12:$I$47,MATCH("Бармен|В",Норми!$L$12:$L$47,0),MATCH(Z$5,Норми!$C$11:$I$11,0))</f>
        <v>0</v>
      </c>
      <c r="AA70" s="40" t="n">
        <f aca="false">COUNTIF(AA$65:AA$68,"В")-INDEX(Норми!$C$12:$I$47,MATCH("Бармен|В",Норми!$L$12:$L$47,0),MATCH(AA$5,Норми!$C$11:$I$11,0))</f>
        <v>0</v>
      </c>
      <c r="AB70" s="40" t="n">
        <f aca="false">COUNTIF(AB$65:AB$68,"В")-INDEX(Норми!$C$12:$I$47,MATCH("Бармен|В",Норми!$L$12:$L$47,0),MATCH(AB$5,Норми!$C$11:$I$11,0))</f>
        <v>0</v>
      </c>
      <c r="AC70" s="40" t="n">
        <f aca="false">COUNTIF(AC$65:AC$68,"В")-INDEX(Норми!$C$12:$I$47,MATCH("Бармен|В",Норми!$L$12:$L$47,0),MATCH(AC$5,Норми!$C$11:$I$11,0))</f>
        <v>0</v>
      </c>
      <c r="AD70" s="40" t="n">
        <f aca="false">COUNTIF(AD$65:AD$68,"В")-INDEX(Норми!$C$12:$I$47,MATCH("Бармен|В",Норми!$L$12:$L$47,0),MATCH(AD$5,Норми!$C$11:$I$11,0))</f>
        <v>0</v>
      </c>
      <c r="AE70" s="40" t="n">
        <f aca="false">COUNTIF(AE$65:AE$68,"В")-INDEX(Норми!$C$12:$I$47,MATCH("Бармен|В",Норми!$L$12:$L$47,0),MATCH(AE$5,Норми!$C$11:$I$11,0))</f>
        <v>0</v>
      </c>
      <c r="AF70" s="40" t="n">
        <f aca="false">COUNTIF(AF$65:AF$68,"В")-INDEX(Норми!$C$12:$I$47,MATCH("Бармен|В",Норми!$L$12:$L$47,0),MATCH(AF$5,Норми!$C$11:$I$11,0))</f>
        <v>0</v>
      </c>
      <c r="AG70" s="40" t="n">
        <f aca="false">COUNTIF(AG$65:AG$68,"В")-INDEX(Норми!$C$12:$I$47,MATCH("Бармен|В",Норми!$L$12:$L$47,0),MATCH(AG$5,Норми!$C$11:$I$11,0))</f>
        <v>0</v>
      </c>
      <c r="AH70" s="40" t="n">
        <f aca="false">COUNTIF(AH$65:AH$68,"В")-INDEX(Норми!$C$12:$I$47,MATCH("Бармен|В",Норми!$L$12:$L$47,0),MATCH(AH$5,Норми!$C$11:$I$11,0))</f>
        <v>0</v>
      </c>
    </row>
    <row r="71" customFormat="false" ht="15" hidden="false" customHeight="false" outlineLevel="0" collapsed="false">
      <c r="C71" s="35" t="s">
        <v>148</v>
      </c>
      <c r="D71" s="40" t="n">
        <f aca="false">COUNTIF(D$65:D$68,"П")-INDEX(Норми!$C$12:$I$47,MATCH("Бармен|П",Норми!$L$12:$L$47,0),MATCH(D$5,Норми!$C$11:$I$11,0))</f>
        <v>0</v>
      </c>
      <c r="E71" s="40" t="n">
        <f aca="false">COUNTIF(E$65:E$68,"П")-INDEX(Норми!$C$12:$I$47,MATCH("Бармен|П",Норми!$L$12:$L$47,0),MATCH(E$5,Норми!$C$11:$I$11,0))</f>
        <v>0</v>
      </c>
      <c r="F71" s="40" t="n">
        <f aca="false">COUNTIF(F$65:F$68,"П")-INDEX(Норми!$C$12:$I$47,MATCH("Бармен|П",Норми!$L$12:$L$47,0),MATCH(F$5,Норми!$C$11:$I$11,0))</f>
        <v>0</v>
      </c>
      <c r="G71" s="40" t="n">
        <f aca="false">COUNTIF(G$65:G$68,"П")-INDEX(Норми!$C$12:$I$47,MATCH("Бармен|П",Норми!$L$12:$L$47,0),MATCH(G$5,Норми!$C$11:$I$11,0))</f>
        <v>0</v>
      </c>
      <c r="H71" s="40" t="n">
        <f aca="false">COUNTIF(H$65:H$68,"П")-INDEX(Норми!$C$12:$I$47,MATCH("Бармен|П",Норми!$L$12:$L$47,0),MATCH(H$5,Норми!$C$11:$I$11,0))</f>
        <v>0</v>
      </c>
      <c r="I71" s="40" t="n">
        <f aca="false">COUNTIF(I$65:I$68,"П")-INDEX(Норми!$C$12:$I$47,MATCH("Бармен|П",Норми!$L$12:$L$47,0),MATCH(I$5,Норми!$C$11:$I$11,0))</f>
        <v>0</v>
      </c>
      <c r="J71" s="40" t="n">
        <f aca="false">COUNTIF(J$65:J$68,"П")-INDEX(Норми!$C$12:$I$47,MATCH("Бармен|П",Норми!$L$12:$L$47,0),MATCH(J$5,Норми!$C$11:$I$11,0))</f>
        <v>0</v>
      </c>
      <c r="K71" s="40" t="n">
        <f aca="false">COUNTIF(K$65:K$68,"П")-INDEX(Норми!$C$12:$I$47,MATCH("Бармен|П",Норми!$L$12:$L$47,0),MATCH(K$5,Норми!$C$11:$I$11,0))</f>
        <v>0</v>
      </c>
      <c r="L71" s="40" t="n">
        <f aca="false">COUNTIF(L$65:L$68,"П")-INDEX(Норми!$C$12:$I$47,MATCH("Бармен|П",Норми!$L$12:$L$47,0),MATCH(L$5,Норми!$C$11:$I$11,0))</f>
        <v>0</v>
      </c>
      <c r="M71" s="40" t="n">
        <f aca="false">COUNTIF(M$65:M$68,"П")-INDEX(Норми!$C$12:$I$47,MATCH("Бармен|П",Норми!$L$12:$L$47,0),MATCH(M$5,Норми!$C$11:$I$11,0))</f>
        <v>0</v>
      </c>
      <c r="N71" s="40" t="n">
        <f aca="false">COUNTIF(N$65:N$68,"П")-INDEX(Норми!$C$12:$I$47,MATCH("Бармен|П",Норми!$L$12:$L$47,0),MATCH(N$5,Норми!$C$11:$I$11,0))</f>
        <v>0</v>
      </c>
      <c r="O71" s="40" t="n">
        <f aca="false">COUNTIF(O$65:O$68,"П")-INDEX(Норми!$C$12:$I$47,MATCH("Бармен|П",Норми!$L$12:$L$47,0),MATCH(O$5,Норми!$C$11:$I$11,0))</f>
        <v>0</v>
      </c>
      <c r="P71" s="40" t="n">
        <f aca="false">COUNTIF(P$65:P$68,"П")-INDEX(Норми!$C$12:$I$47,MATCH("Бармен|П",Норми!$L$12:$L$47,0),MATCH(P$5,Норми!$C$11:$I$11,0))</f>
        <v>0</v>
      </c>
      <c r="Q71" s="40" t="n">
        <f aca="false">COUNTIF(Q$65:Q$68,"П")-INDEX(Норми!$C$12:$I$47,MATCH("Бармен|П",Норми!$L$12:$L$47,0),MATCH(Q$5,Норми!$C$11:$I$11,0))</f>
        <v>0</v>
      </c>
      <c r="R71" s="40" t="n">
        <f aca="false">COUNTIF(R$65:R$68,"П")-INDEX(Норми!$C$12:$I$47,MATCH("Бармен|П",Норми!$L$12:$L$47,0),MATCH(R$5,Норми!$C$11:$I$11,0))</f>
        <v>0</v>
      </c>
      <c r="S71" s="40" t="n">
        <f aca="false">COUNTIF(S$65:S$68,"П")-INDEX(Норми!$C$12:$I$47,MATCH("Бармен|П",Норми!$L$12:$L$47,0),MATCH(S$5,Норми!$C$11:$I$11,0))</f>
        <v>0</v>
      </c>
      <c r="T71" s="40" t="n">
        <f aca="false">COUNTIF(T$65:T$68,"П")-INDEX(Норми!$C$12:$I$47,MATCH("Бармен|П",Норми!$L$12:$L$47,0),MATCH(T$5,Норми!$C$11:$I$11,0))</f>
        <v>0</v>
      </c>
      <c r="U71" s="40" t="n">
        <f aca="false">COUNTIF(U$65:U$68,"П")-INDEX(Норми!$C$12:$I$47,MATCH("Бармен|П",Норми!$L$12:$L$47,0),MATCH(U$5,Норми!$C$11:$I$11,0))</f>
        <v>0</v>
      </c>
      <c r="V71" s="40" t="n">
        <f aca="false">COUNTIF(V$65:V$68,"П")-INDEX(Норми!$C$12:$I$47,MATCH("Бармен|П",Норми!$L$12:$L$47,0),MATCH(V$5,Норми!$C$11:$I$11,0))</f>
        <v>0</v>
      </c>
      <c r="W71" s="40" t="n">
        <f aca="false">COUNTIF(W$65:W$68,"П")-INDEX(Норми!$C$12:$I$47,MATCH("Бармен|П",Норми!$L$12:$L$47,0),MATCH(W$5,Норми!$C$11:$I$11,0))</f>
        <v>0</v>
      </c>
      <c r="X71" s="40" t="n">
        <f aca="false">COUNTIF(X$65:X$68,"П")-INDEX(Норми!$C$12:$I$47,MATCH("Бармен|П",Норми!$L$12:$L$47,0),MATCH(X$5,Норми!$C$11:$I$11,0))</f>
        <v>0</v>
      </c>
      <c r="Y71" s="40" t="n">
        <f aca="false">COUNTIF(Y$65:Y$68,"П")-INDEX(Норми!$C$12:$I$47,MATCH("Бармен|П",Норми!$L$12:$L$47,0),MATCH(Y$5,Норми!$C$11:$I$11,0))</f>
        <v>0</v>
      </c>
      <c r="Z71" s="40" t="n">
        <f aca="false">COUNTIF(Z$65:Z$68,"П")-INDEX(Норми!$C$12:$I$47,MATCH("Бармен|П",Норми!$L$12:$L$47,0),MATCH(Z$5,Норми!$C$11:$I$11,0))</f>
        <v>0</v>
      </c>
      <c r="AA71" s="40" t="n">
        <f aca="false">COUNTIF(AA$65:AA$68,"П")-INDEX(Норми!$C$12:$I$47,MATCH("Бармен|П",Норми!$L$12:$L$47,0),MATCH(AA$5,Норми!$C$11:$I$11,0))</f>
        <v>0</v>
      </c>
      <c r="AB71" s="40" t="n">
        <f aca="false">COUNTIF(AB$65:AB$68,"П")-INDEX(Норми!$C$12:$I$47,MATCH("Бармен|П",Норми!$L$12:$L$47,0),MATCH(AB$5,Норми!$C$11:$I$11,0))</f>
        <v>0</v>
      </c>
      <c r="AC71" s="40" t="n">
        <f aca="false">COUNTIF(AC$65:AC$68,"П")-INDEX(Норми!$C$12:$I$47,MATCH("Бармен|П",Норми!$L$12:$L$47,0),MATCH(AC$5,Норми!$C$11:$I$11,0))</f>
        <v>0</v>
      </c>
      <c r="AD71" s="40" t="n">
        <f aca="false">COUNTIF(AD$65:AD$68,"П")-INDEX(Норми!$C$12:$I$47,MATCH("Бармен|П",Норми!$L$12:$L$47,0),MATCH(AD$5,Норми!$C$11:$I$11,0))</f>
        <v>0</v>
      </c>
      <c r="AE71" s="40" t="n">
        <f aca="false">COUNTIF(AE$65:AE$68,"П")-INDEX(Норми!$C$12:$I$47,MATCH("Бармен|П",Норми!$L$12:$L$47,0),MATCH(AE$5,Норми!$C$11:$I$11,0))</f>
        <v>0</v>
      </c>
      <c r="AF71" s="40" t="n">
        <f aca="false">COUNTIF(AF$65:AF$68,"П")-INDEX(Норми!$C$12:$I$47,MATCH("Бармен|П",Норми!$L$12:$L$47,0),MATCH(AF$5,Норми!$C$11:$I$11,0))</f>
        <v>0</v>
      </c>
      <c r="AG71" s="40" t="n">
        <f aca="false">COUNTIF(AG$65:AG$68,"П")-INDEX(Норми!$C$12:$I$47,MATCH("Бармен|П",Норми!$L$12:$L$47,0),MATCH(AG$5,Норми!$C$11:$I$11,0))</f>
        <v>0</v>
      </c>
      <c r="AH71" s="40" t="n">
        <f aca="false">COUNTIF(AH$65:AH$68,"П")-INDEX(Норми!$C$12:$I$47,MATCH("Бармен|П",Норми!$L$12:$L$47,0),MATCH(AH$5,Норми!$C$11:$I$11,0))</f>
        <v>0</v>
      </c>
    </row>
    <row r="73" customFormat="false" ht="15" hidden="false" customHeight="false" outlineLevel="0" collapsed="false">
      <c r="C73" s="41" t="s">
        <v>176</v>
      </c>
      <c r="D73" s="23" t="n">
        <f aca="false">SUMPRODUCT((D12:D72="Р")+(D12:D72="С")+(D12:D72="В")+(D12:D72="П"))</f>
        <v>18</v>
      </c>
      <c r="E73" s="23" t="n">
        <f aca="false">SUMPRODUCT((E12:E72="Р")+(E12:E72="С")+(E12:E72="В")+(E12:E72="П"))</f>
        <v>25</v>
      </c>
      <c r="F73" s="23" t="n">
        <f aca="false">SUMPRODUCT((F12:F72="Р")+(F12:F72="С")+(F12:F72="В")+(F12:F72="П"))</f>
        <v>27</v>
      </c>
      <c r="G73" s="23" t="n">
        <f aca="false">SUMPRODUCT((G12:G72="Р")+(G12:G72="С")+(G12:G72="В")+(G12:G72="П"))</f>
        <v>20</v>
      </c>
      <c r="H73" s="23" t="n">
        <f aca="false">SUMPRODUCT((H12:H72="Р")+(H12:H72="С")+(H12:H72="В")+(H12:H72="П"))</f>
        <v>13</v>
      </c>
      <c r="I73" s="23" t="n">
        <f aca="false">SUMPRODUCT((I12:I72="Р")+(I12:I72="С")+(I12:I72="В")+(I12:I72="П"))</f>
        <v>13</v>
      </c>
      <c r="J73" s="23" t="n">
        <f aca="false">SUMPRODUCT((J12:J72="Р")+(J12:J72="С")+(J12:J72="В")+(J12:J72="П"))</f>
        <v>14</v>
      </c>
      <c r="K73" s="23" t="n">
        <f aca="false">SUMPRODUCT((K12:K72="Р")+(K12:K72="С")+(K12:K72="В")+(K12:K72="П"))</f>
        <v>18</v>
      </c>
      <c r="L73" s="23" t="n">
        <f aca="false">SUMPRODUCT((L12:L72="Р")+(L12:L72="С")+(L12:L72="В")+(L12:L72="П"))</f>
        <v>25</v>
      </c>
      <c r="M73" s="23" t="n">
        <f aca="false">SUMPRODUCT((M12:M72="Р")+(M12:M72="С")+(M12:M72="В")+(M12:M72="П"))</f>
        <v>27</v>
      </c>
      <c r="N73" s="23" t="n">
        <f aca="false">SUMPRODUCT((N12:N72="Р")+(N12:N72="С")+(N12:N72="В")+(N12:N72="П"))</f>
        <v>20</v>
      </c>
      <c r="O73" s="23" t="n">
        <f aca="false">SUMPRODUCT((O12:O72="Р")+(O12:O72="С")+(O12:O72="В")+(O12:O72="П"))</f>
        <v>13</v>
      </c>
      <c r="P73" s="23" t="n">
        <f aca="false">SUMPRODUCT((P12:P72="Р")+(P12:P72="С")+(P12:P72="В")+(P12:P72="П"))</f>
        <v>13</v>
      </c>
      <c r="Q73" s="23" t="n">
        <f aca="false">SUMPRODUCT((Q12:Q72="Р")+(Q12:Q72="С")+(Q12:Q72="В")+(Q12:Q72="П"))</f>
        <v>14</v>
      </c>
      <c r="R73" s="23" t="n">
        <f aca="false">SUMPRODUCT((R12:R72="Р")+(R12:R72="С")+(R12:R72="В")+(R12:R72="П"))</f>
        <v>18</v>
      </c>
      <c r="S73" s="23" t="n">
        <f aca="false">SUMPRODUCT((S12:S72="Р")+(S12:S72="С")+(S12:S72="В")+(S12:S72="П"))</f>
        <v>25</v>
      </c>
      <c r="T73" s="23" t="n">
        <f aca="false">SUMPRODUCT((T12:T72="Р")+(T12:T72="С")+(T12:T72="В")+(T12:T72="П"))</f>
        <v>27</v>
      </c>
      <c r="U73" s="23" t="n">
        <f aca="false">SUMPRODUCT((U12:U72="Р")+(U12:U72="С")+(U12:U72="В")+(U12:U72="П"))</f>
        <v>20</v>
      </c>
      <c r="V73" s="23" t="n">
        <f aca="false">SUMPRODUCT((V12:V72="Р")+(V12:V72="С")+(V12:V72="В")+(V12:V72="П"))</f>
        <v>13</v>
      </c>
      <c r="W73" s="23" t="n">
        <f aca="false">SUMPRODUCT((W12:W72="Р")+(W12:W72="С")+(W12:W72="В")+(W12:W72="П"))</f>
        <v>13</v>
      </c>
      <c r="X73" s="23" t="n">
        <f aca="false">SUMPRODUCT((X12:X72="Р")+(X12:X72="С")+(X12:X72="В")+(X12:X72="П"))</f>
        <v>14</v>
      </c>
      <c r="Y73" s="23" t="n">
        <f aca="false">SUMPRODUCT((Y12:Y72="Р")+(Y12:Y72="С")+(Y12:Y72="В")+(Y12:Y72="П"))</f>
        <v>18</v>
      </c>
      <c r="Z73" s="23" t="n">
        <f aca="false">SUMPRODUCT((Z12:Z72="Р")+(Z12:Z72="С")+(Z12:Z72="В")+(Z12:Z72="П"))</f>
        <v>25</v>
      </c>
      <c r="AA73" s="23" t="n">
        <f aca="false">SUMPRODUCT((AA12:AA72="Р")+(AA12:AA72="С")+(AA12:AA72="В")+(AA12:AA72="П"))</f>
        <v>27</v>
      </c>
      <c r="AB73" s="23" t="n">
        <f aca="false">SUMPRODUCT((AB12:AB72="Р")+(AB12:AB72="С")+(AB12:AB72="В")+(AB12:AB72="П"))</f>
        <v>20</v>
      </c>
      <c r="AC73" s="23" t="n">
        <f aca="false">SUMPRODUCT((AC12:AC72="Р")+(AC12:AC72="С")+(AC12:AC72="В")+(AC12:AC72="П"))</f>
        <v>13</v>
      </c>
      <c r="AD73" s="23" t="n">
        <f aca="false">SUMPRODUCT((AD12:AD72="Р")+(AD12:AD72="С")+(AD12:AD72="В")+(AD12:AD72="П"))</f>
        <v>13</v>
      </c>
      <c r="AE73" s="23" t="n">
        <f aca="false">SUMPRODUCT((AE12:AE72="Р")+(AE12:AE72="С")+(AE12:AE72="В")+(AE12:AE72="П"))</f>
        <v>14</v>
      </c>
      <c r="AF73" s="23" t="n">
        <f aca="false">SUMPRODUCT((AF12:AF72="Р")+(AF12:AF72="С")+(AF12:AF72="В")+(AF12:AF72="П"))</f>
        <v>18</v>
      </c>
      <c r="AG73" s="23" t="n">
        <f aca="false">SUMPRODUCT((AG12:AG72="Р")+(AG12:AG72="С")+(AG12:AG72="В")+(AG12:AG72="П"))</f>
        <v>25</v>
      </c>
      <c r="AH73" s="23" t="n">
        <f aca="false">SUMPRODUCT((AH12:AH72="Р")+(AH12:AH72="С")+(AH12:AH72="В")+(AH12:AH72="П"))</f>
        <v>27</v>
      </c>
    </row>
    <row r="74" customFormat="false" ht="30" hidden="false" customHeight="true" outlineLevel="0" collapsed="false">
      <c r="C74" s="41" t="s">
        <v>177</v>
      </c>
      <c r="D74" s="42" t="n">
        <f aca="false">SUMPRODUCT((D12:D72="Р")*D$7)+SUMPRODUCT((D12:D72="С")*D$8)+SUMPRODUCT((D12:D72="В")*D$9)+SUMPRODUCT((D12:D72="П")*D$10)</f>
        <v>134.5</v>
      </c>
      <c r="E74" s="42" t="n">
        <f aca="false">SUMPRODUCT((E12:E72="Р")*E$7)+SUMPRODUCT((E12:E72="С")*E$8)+SUMPRODUCT((E12:E72="В")*E$9)+SUMPRODUCT((E12:E72="П")*E$10)</f>
        <v>181.5</v>
      </c>
      <c r="F74" s="42" t="n">
        <f aca="false">SUMPRODUCT((F12:F72="Р")*F$7)+SUMPRODUCT((F12:F72="С")*F$8)+SUMPRODUCT((F12:F72="В")*F$9)+SUMPRODUCT((F12:F72="П")*F$10)</f>
        <v>197</v>
      </c>
      <c r="G74" s="42" t="n">
        <f aca="false">SUMPRODUCT((G12:G72="Р")*G$7)+SUMPRODUCT((G12:G72="С")*G$8)+SUMPRODUCT((G12:G72="В")*G$9)+SUMPRODUCT((G12:G72="П")*G$10)</f>
        <v>148</v>
      </c>
      <c r="H74" s="42" t="n">
        <f aca="false">SUMPRODUCT((H12:H72="Р")*H$7)+SUMPRODUCT((H12:H72="С")*H$8)+SUMPRODUCT((H12:H72="В")*H$9)+SUMPRODUCT((H12:H72="П")*H$10)</f>
        <v>97.5</v>
      </c>
      <c r="I74" s="42" t="n">
        <f aca="false">SUMPRODUCT((I12:I72="Р")*I$7)+SUMPRODUCT((I12:I72="С")*I$8)+SUMPRODUCT((I12:I72="В")*I$9)+SUMPRODUCT((I12:I72="П")*I$10)</f>
        <v>97.5</v>
      </c>
      <c r="J74" s="42" t="n">
        <f aca="false">SUMPRODUCT((J12:J72="Р")*J$7)+SUMPRODUCT((J12:J72="С")*J$8)+SUMPRODUCT((J12:J72="В")*J$9)+SUMPRODUCT((J12:J72="П")*J$10)</f>
        <v>105</v>
      </c>
      <c r="K74" s="42" t="n">
        <f aca="false">SUMPRODUCT((K12:K72="Р")*K$7)+SUMPRODUCT((K12:K72="С")*K$8)+SUMPRODUCT((K12:K72="В")*K$9)+SUMPRODUCT((K12:K72="П")*K$10)</f>
        <v>134.5</v>
      </c>
      <c r="L74" s="42" t="n">
        <f aca="false">SUMPRODUCT((L12:L72="Р")*L$7)+SUMPRODUCT((L12:L72="С")*L$8)+SUMPRODUCT((L12:L72="В")*L$9)+SUMPRODUCT((L12:L72="П")*L$10)</f>
        <v>181.5</v>
      </c>
      <c r="M74" s="42" t="n">
        <f aca="false">SUMPRODUCT((M12:M72="Р")*M$7)+SUMPRODUCT((M12:M72="С")*M$8)+SUMPRODUCT((M12:M72="В")*M$9)+SUMPRODUCT((M12:M72="П")*M$10)</f>
        <v>197</v>
      </c>
      <c r="N74" s="42" t="n">
        <f aca="false">SUMPRODUCT((N12:N72="Р")*N$7)+SUMPRODUCT((N12:N72="С")*N$8)+SUMPRODUCT((N12:N72="В")*N$9)+SUMPRODUCT((N12:N72="П")*N$10)</f>
        <v>148</v>
      </c>
      <c r="O74" s="42" t="n">
        <f aca="false">SUMPRODUCT((O12:O72="Р")*O$7)+SUMPRODUCT((O12:O72="С")*O$8)+SUMPRODUCT((O12:O72="В")*O$9)+SUMPRODUCT((O12:O72="П")*O$10)</f>
        <v>97.5</v>
      </c>
      <c r="P74" s="42" t="n">
        <f aca="false">SUMPRODUCT((P12:P72="Р")*P$7)+SUMPRODUCT((P12:P72="С")*P$8)+SUMPRODUCT((P12:P72="В")*P$9)+SUMPRODUCT((P12:P72="П")*P$10)</f>
        <v>97.5</v>
      </c>
      <c r="Q74" s="42" t="n">
        <f aca="false">SUMPRODUCT((Q12:Q72="Р")*Q$7)+SUMPRODUCT((Q12:Q72="С")*Q$8)+SUMPRODUCT((Q12:Q72="В")*Q$9)+SUMPRODUCT((Q12:Q72="П")*Q$10)</f>
        <v>105</v>
      </c>
      <c r="R74" s="42" t="n">
        <f aca="false">SUMPRODUCT((R12:R72="Р")*R$7)+SUMPRODUCT((R12:R72="С")*R$8)+SUMPRODUCT((R12:R72="В")*R$9)+SUMPRODUCT((R12:R72="П")*R$10)</f>
        <v>134.5</v>
      </c>
      <c r="S74" s="42" t="n">
        <f aca="false">SUMPRODUCT((S12:S72="Р")*S$7)+SUMPRODUCT((S12:S72="С")*S$8)+SUMPRODUCT((S12:S72="В")*S$9)+SUMPRODUCT((S12:S72="П")*S$10)</f>
        <v>181.5</v>
      </c>
      <c r="T74" s="42" t="n">
        <f aca="false">SUMPRODUCT((T12:T72="Р")*T$7)+SUMPRODUCT((T12:T72="С")*T$8)+SUMPRODUCT((T12:T72="В")*T$9)+SUMPRODUCT((T12:T72="П")*T$10)</f>
        <v>197</v>
      </c>
      <c r="U74" s="42" t="n">
        <f aca="false">SUMPRODUCT((U12:U72="Р")*U$7)+SUMPRODUCT((U12:U72="С")*U$8)+SUMPRODUCT((U12:U72="В")*U$9)+SUMPRODUCT((U12:U72="П")*U$10)</f>
        <v>148</v>
      </c>
      <c r="V74" s="42" t="n">
        <f aca="false">SUMPRODUCT((V12:V72="Р")*V$7)+SUMPRODUCT((V12:V72="С")*V$8)+SUMPRODUCT((V12:V72="В")*V$9)+SUMPRODUCT((V12:V72="П")*V$10)</f>
        <v>97.5</v>
      </c>
      <c r="W74" s="42" t="n">
        <f aca="false">SUMPRODUCT((W12:W72="Р")*W$7)+SUMPRODUCT((W12:W72="С")*W$8)+SUMPRODUCT((W12:W72="В")*W$9)+SUMPRODUCT((W12:W72="П")*W$10)</f>
        <v>97.5</v>
      </c>
      <c r="X74" s="42" t="n">
        <f aca="false">SUMPRODUCT((X12:X72="Р")*X$7)+SUMPRODUCT((X12:X72="С")*X$8)+SUMPRODUCT((X12:X72="В")*X$9)+SUMPRODUCT((X12:X72="П")*X$10)</f>
        <v>105</v>
      </c>
      <c r="Y74" s="42" t="n">
        <f aca="false">SUMPRODUCT((Y12:Y72="Р")*Y$7)+SUMPRODUCT((Y12:Y72="С")*Y$8)+SUMPRODUCT((Y12:Y72="В")*Y$9)+SUMPRODUCT((Y12:Y72="П")*Y$10)</f>
        <v>134.5</v>
      </c>
      <c r="Z74" s="42" t="n">
        <f aca="false">SUMPRODUCT((Z12:Z72="Р")*Z$7)+SUMPRODUCT((Z12:Z72="С")*Z$8)+SUMPRODUCT((Z12:Z72="В")*Z$9)+SUMPRODUCT((Z12:Z72="П")*Z$10)</f>
        <v>181.5</v>
      </c>
      <c r="AA74" s="42" t="n">
        <f aca="false">SUMPRODUCT((AA12:AA72="Р")*AA$7)+SUMPRODUCT((AA12:AA72="С")*AA$8)+SUMPRODUCT((AA12:AA72="В")*AA$9)+SUMPRODUCT((AA12:AA72="П")*AA$10)</f>
        <v>197</v>
      </c>
      <c r="AB74" s="42" t="n">
        <f aca="false">SUMPRODUCT((AB12:AB72="Р")*AB$7)+SUMPRODUCT((AB12:AB72="С")*AB$8)+SUMPRODUCT((AB12:AB72="В")*AB$9)+SUMPRODUCT((AB12:AB72="П")*AB$10)</f>
        <v>148</v>
      </c>
      <c r="AC74" s="42" t="n">
        <f aca="false">SUMPRODUCT((AC12:AC72="Р")*AC$7)+SUMPRODUCT((AC12:AC72="С")*AC$8)+SUMPRODUCT((AC12:AC72="В")*AC$9)+SUMPRODUCT((AC12:AC72="П")*AC$10)</f>
        <v>97.5</v>
      </c>
      <c r="AD74" s="42" t="n">
        <f aca="false">SUMPRODUCT((AD12:AD72="Р")*AD$7)+SUMPRODUCT((AD12:AD72="С")*AD$8)+SUMPRODUCT((AD12:AD72="В")*AD$9)+SUMPRODUCT((AD12:AD72="П")*AD$10)</f>
        <v>97.5</v>
      </c>
      <c r="AE74" s="42" t="n">
        <f aca="false">SUMPRODUCT((AE12:AE72="Р")*AE$7)+SUMPRODUCT((AE12:AE72="С")*AE$8)+SUMPRODUCT((AE12:AE72="В")*AE$9)+SUMPRODUCT((AE12:AE72="П")*AE$10)</f>
        <v>105</v>
      </c>
      <c r="AF74" s="42" t="n">
        <f aca="false">SUMPRODUCT((AF12:AF72="Р")*AF$7)+SUMPRODUCT((AF12:AF72="С")*AF$8)+SUMPRODUCT((AF12:AF72="В")*AF$9)+SUMPRODUCT((AF12:AF72="П")*AF$10)</f>
        <v>134.5</v>
      </c>
      <c r="AG74" s="42" t="n">
        <f aca="false">SUMPRODUCT((AG12:AG72="Р")*AG$7)+SUMPRODUCT((AG12:AG72="С")*AG$8)+SUMPRODUCT((AG12:AG72="В")*AG$9)+SUMPRODUCT((AG12:AG72="П")*AG$10)</f>
        <v>181.5</v>
      </c>
      <c r="AH74" s="42" t="n">
        <f aca="false">SUMPRODUCT((AH12:AH72="Р")*AH$7)+SUMPRODUCT((AH12:AH72="С")*AH$8)+SUMPRODUCT((AH12:AH72="В")*AH$9)+SUMPRODUCT((AH12:AH72="П")*AH$10)</f>
        <v>197</v>
      </c>
      <c r="AI74" s="41" t="s">
        <v>178</v>
      </c>
      <c r="AJ74" s="43" t="n">
        <f aca="false">SUM(D74:AH74)</f>
        <v>4357</v>
      </c>
    </row>
  </sheetData>
  <mergeCells count="5">
    <mergeCell ref="AI4:AI6"/>
    <mergeCell ref="AJ4:AJ6"/>
    <mergeCell ref="AK4:AK6"/>
    <mergeCell ref="AL4:AL6"/>
    <mergeCell ref="AM4:AM6"/>
  </mergeCells>
  <conditionalFormatting sqref="D16:AH16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conditionalFormatting sqref="D17:AH17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1">
      <formula>0</formula>
    </cfRule>
  </conditionalFormatting>
  <conditionalFormatting sqref="D24:AH24">
    <cfRule type="cellIs" priority="6" operator="lessThan" aboveAverage="0" equalAverage="0" bottom="0" percent="0" rank="0" text="" dxfId="0">
      <formula>0</formula>
    </cfRule>
    <cfRule type="cellIs" priority="7" operator="greaterThan" aboveAverage="0" equalAverage="0" bottom="0" percent="0" rank="0" text="" dxfId="1">
      <formula>0</formula>
    </cfRule>
  </conditionalFormatting>
  <conditionalFormatting sqref="D25:AH25">
    <cfRule type="cellIs" priority="8" operator="lessThan" aboveAverage="0" equalAverage="0" bottom="0" percent="0" rank="0" text="" dxfId="0">
      <formula>0</formula>
    </cfRule>
    <cfRule type="cellIs" priority="9" operator="greaterThan" aboveAverage="0" equalAverage="0" bottom="0" percent="0" rank="0" text="" dxfId="1">
      <formula>0</formula>
    </cfRule>
  </conditionalFormatting>
  <conditionalFormatting sqref="D26:AH26">
    <cfRule type="cellIs" priority="10" operator="lessThan" aboveAverage="0" equalAverage="0" bottom="0" percent="0" rank="0" text="" dxfId="0">
      <formula>0</formula>
    </cfRule>
    <cfRule type="cellIs" priority="11" operator="greaterThan" aboveAverage="0" equalAverage="0" bottom="0" percent="0" rank="0" text="" dxfId="1">
      <formula>0</formula>
    </cfRule>
  </conditionalFormatting>
  <conditionalFormatting sqref="D27:AH27">
    <cfRule type="cellIs" priority="12" operator="lessThan" aboveAverage="0" equalAverage="0" bottom="0" percent="0" rank="0" text="" dxfId="0">
      <formula>0</formula>
    </cfRule>
    <cfRule type="cellIs" priority="13" operator="greaterThan" aboveAverage="0" equalAverage="0" bottom="0" percent="0" rank="0" text="" dxfId="1">
      <formula>0</formula>
    </cfRule>
  </conditionalFormatting>
  <conditionalFormatting sqref="D41:AH41">
    <cfRule type="cellIs" priority="14" operator="lessThan" aboveAverage="0" equalAverage="0" bottom="0" percent="0" rank="0" text="" dxfId="0">
      <formula>0</formula>
    </cfRule>
    <cfRule type="cellIs" priority="15" operator="greaterThan" aboveAverage="0" equalAverage="0" bottom="0" percent="0" rank="0" text="" dxfId="1">
      <formula>0</formula>
    </cfRule>
  </conditionalFormatting>
  <conditionalFormatting sqref="D42:AH42">
    <cfRule type="cellIs" priority="16" operator="lessThan" aboveAverage="0" equalAverage="0" bottom="0" percent="0" rank="0" text="" dxfId="0">
      <formula>0</formula>
    </cfRule>
    <cfRule type="cellIs" priority="17" operator="greaterThan" aboveAverage="0" equalAverage="0" bottom="0" percent="0" rank="0" text="" dxfId="1">
      <formula>0</formula>
    </cfRule>
  </conditionalFormatting>
  <conditionalFormatting sqref="D43:AH43">
    <cfRule type="cellIs" priority="18" operator="lessThan" aboveAverage="0" equalAverage="0" bottom="0" percent="0" rank="0" text="" dxfId="0">
      <formula>0</formula>
    </cfRule>
    <cfRule type="cellIs" priority="19" operator="greaterThan" aboveAverage="0" equalAverage="0" bottom="0" percent="0" rank="0" text="" dxfId="1">
      <formula>0</formula>
    </cfRule>
  </conditionalFormatting>
  <conditionalFormatting sqref="D44:AH44">
    <cfRule type="cellIs" priority="20" operator="lessThan" aboveAverage="0" equalAverage="0" bottom="0" percent="0" rank="0" text="" dxfId="0">
      <formula>0</formula>
    </cfRule>
    <cfRule type="cellIs" priority="21" operator="greaterThan" aboveAverage="0" equalAverage="0" bottom="0" percent="0" rank="0" text="" dxfId="1">
      <formula>0</formula>
    </cfRule>
  </conditionalFormatting>
  <conditionalFormatting sqref="D53:AH53">
    <cfRule type="cellIs" priority="22" operator="lessThan" aboveAverage="0" equalAverage="0" bottom="0" percent="0" rank="0" text="" dxfId="0">
      <formula>0</formula>
    </cfRule>
    <cfRule type="cellIs" priority="23" operator="greaterThan" aboveAverage="0" equalAverage="0" bottom="0" percent="0" rank="0" text="" dxfId="1">
      <formula>0</formula>
    </cfRule>
  </conditionalFormatting>
  <conditionalFormatting sqref="D54:AH54">
    <cfRule type="cellIs" priority="24" operator="lessThan" aboveAverage="0" equalAverage="0" bottom="0" percent="0" rank="0" text="" dxfId="0">
      <formula>0</formula>
    </cfRule>
    <cfRule type="cellIs" priority="25" operator="greaterThan" aboveAverage="0" equalAverage="0" bottom="0" percent="0" rank="0" text="" dxfId="1">
      <formula>0</formula>
    </cfRule>
  </conditionalFormatting>
  <conditionalFormatting sqref="D55:AH55">
    <cfRule type="cellIs" priority="26" operator="lessThan" aboveAverage="0" equalAverage="0" bottom="0" percent="0" rank="0" text="" dxfId="0">
      <formula>0</formula>
    </cfRule>
    <cfRule type="cellIs" priority="27" operator="greaterThan" aboveAverage="0" equalAverage="0" bottom="0" percent="0" rank="0" text="" dxfId="1">
      <formula>0</formula>
    </cfRule>
  </conditionalFormatting>
  <conditionalFormatting sqref="D56:AH56">
    <cfRule type="cellIs" priority="28" operator="lessThan" aboveAverage="0" equalAverage="0" bottom="0" percent="0" rank="0" text="" dxfId="0">
      <formula>0</formula>
    </cfRule>
    <cfRule type="cellIs" priority="29" operator="greaterThan" aboveAverage="0" equalAverage="0" bottom="0" percent="0" rank="0" text="" dxfId="1">
      <formula>0</formula>
    </cfRule>
  </conditionalFormatting>
  <conditionalFormatting sqref="D61:AH61">
    <cfRule type="cellIs" priority="30" operator="lessThan" aboveAverage="0" equalAverage="0" bottom="0" percent="0" rank="0" text="" dxfId="0">
      <formula>0</formula>
    </cfRule>
    <cfRule type="cellIs" priority="31" operator="greaterThan" aboveAverage="0" equalAverage="0" bottom="0" percent="0" rank="0" text="" dxfId="1">
      <formula>0</formula>
    </cfRule>
  </conditionalFormatting>
  <conditionalFormatting sqref="D62:AH62">
    <cfRule type="cellIs" priority="32" operator="lessThan" aboveAverage="0" equalAverage="0" bottom="0" percent="0" rank="0" text="" dxfId="0">
      <formula>0</formula>
    </cfRule>
    <cfRule type="cellIs" priority="33" operator="greaterThan" aboveAverage="0" equalAverage="0" bottom="0" percent="0" rank="0" text="" dxfId="1">
      <formula>0</formula>
    </cfRule>
  </conditionalFormatting>
  <conditionalFormatting sqref="D69:AH69">
    <cfRule type="cellIs" priority="34" operator="lessThan" aboveAverage="0" equalAverage="0" bottom="0" percent="0" rank="0" text="" dxfId="0">
      <formula>0</formula>
    </cfRule>
    <cfRule type="cellIs" priority="35" operator="greaterThan" aboveAverage="0" equalAverage="0" bottom="0" percent="0" rank="0" text="" dxfId="1">
      <formula>0</formula>
    </cfRule>
  </conditionalFormatting>
  <conditionalFormatting sqref="D70:AH70">
    <cfRule type="cellIs" priority="36" operator="lessThan" aboveAverage="0" equalAverage="0" bottom="0" percent="0" rank="0" text="" dxfId="0">
      <formula>0</formula>
    </cfRule>
    <cfRule type="cellIs" priority="37" operator="greaterThan" aboveAverage="0" equalAverage="0" bottom="0" percent="0" rank="0" text="" dxfId="1">
      <formula>0</formula>
    </cfRule>
  </conditionalFormatting>
  <conditionalFormatting sqref="D71:AH71">
    <cfRule type="cellIs" priority="38" operator="lessThan" aboveAverage="0" equalAverage="0" bottom="0" percent="0" rank="0" text="" dxfId="0">
      <formula>0</formula>
    </cfRule>
    <cfRule type="cellIs" priority="39" operator="greaterThan" aboveAverage="0" equalAverage="0" bottom="0" percent="0" rank="0" text="" dxfId="1">
      <formula>0</formula>
    </cfRule>
  </conditionalFormatting>
  <conditionalFormatting sqref="D12:AH72">
    <cfRule type="expression" priority="40" aboveAverage="0" equalAverage="0" bottom="0" percent="0" rank="0" text="" dxfId="2">
      <formula>D12="Р"</formula>
    </cfRule>
    <cfRule type="expression" priority="41" aboveAverage="0" equalAverage="0" bottom="0" percent="0" rank="0" text="" dxfId="3">
      <formula>D12="С"</formula>
    </cfRule>
    <cfRule type="expression" priority="42" aboveAverage="0" equalAverage="0" bottom="0" percent="0" rank="0" text="" dxfId="4">
      <formula>D12="В"</formula>
    </cfRule>
    <cfRule type="expression" priority="43" aboveAverage="0" equalAverage="0" bottom="0" percent="0" rank="0" text="" dxfId="5">
      <formula>D12="П"</formula>
    </cfRule>
  </conditionalFormatting>
  <conditionalFormatting sqref="AM12:AM72">
    <cfRule type="cellIs" priority="44" operator="greaterThan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34" min="4" style="0" width="4.2"/>
    <col collapsed="false" customWidth="true" hidden="false" outlineLevel="0" max="35" min="35" style="0" width="7"/>
    <col collapsed="false" customWidth="true" hidden="false" outlineLevel="0" max="36" min="36" style="0" width="8"/>
    <col collapsed="false" customWidth="true" hidden="false" outlineLevel="0" max="37" min="37" style="0" width="9"/>
    <col collapsed="false" customWidth="true" hidden="false" outlineLevel="0" max="38" min="38" style="0" width="8"/>
    <col collapsed="false" customWidth="true" hidden="false" outlineLevel="0" max="39" min="39" style="0" width="10"/>
  </cols>
  <sheetData>
    <row r="1" customFormat="false" ht="17.35" hidden="false" customHeight="false" outlineLevel="0" collapsed="false">
      <c r="A1" s="1" t="s">
        <v>179</v>
      </c>
    </row>
    <row r="2" customFormat="false" ht="15" hidden="false" customHeight="false" outlineLevel="0" collapsed="false">
      <c r="A2" s="2" t="s">
        <v>123</v>
      </c>
    </row>
    <row r="4" customFormat="false" ht="18" hidden="false" customHeight="true" outlineLevel="0" collapsed="false">
      <c r="A4" s="5" t="s">
        <v>124</v>
      </c>
      <c r="B4" s="5" t="s">
        <v>88</v>
      </c>
      <c r="C4" s="5" t="s">
        <v>125</v>
      </c>
      <c r="D4" s="5" t="n">
        <v>1</v>
      </c>
      <c r="E4" s="5" t="n">
        <v>2</v>
      </c>
      <c r="F4" s="5" t="n">
        <v>3</v>
      </c>
      <c r="G4" s="5" t="n">
        <v>4</v>
      </c>
      <c r="H4" s="5" t="n">
        <v>5</v>
      </c>
      <c r="I4" s="5" t="n">
        <v>6</v>
      </c>
      <c r="J4" s="5" t="n">
        <v>7</v>
      </c>
      <c r="K4" s="5" t="n">
        <v>8</v>
      </c>
      <c r="L4" s="5" t="n">
        <v>9</v>
      </c>
      <c r="M4" s="5" t="n">
        <v>10</v>
      </c>
      <c r="N4" s="5" t="n">
        <v>11</v>
      </c>
      <c r="O4" s="5" t="n">
        <v>12</v>
      </c>
      <c r="P4" s="5" t="n">
        <v>13</v>
      </c>
      <c r="Q4" s="5" t="n">
        <v>14</v>
      </c>
      <c r="R4" s="5" t="n">
        <v>15</v>
      </c>
      <c r="S4" s="5" t="n">
        <v>16</v>
      </c>
      <c r="T4" s="5" t="n">
        <v>17</v>
      </c>
      <c r="U4" s="5" t="n">
        <v>18</v>
      </c>
      <c r="V4" s="5" t="n">
        <v>19</v>
      </c>
      <c r="W4" s="5" t="n">
        <v>20</v>
      </c>
      <c r="X4" s="5" t="n">
        <v>21</v>
      </c>
      <c r="Y4" s="5" t="n">
        <v>22</v>
      </c>
      <c r="Z4" s="5" t="n">
        <v>23</v>
      </c>
      <c r="AA4" s="5" t="n">
        <v>24</v>
      </c>
      <c r="AB4" s="5" t="n">
        <v>25</v>
      </c>
      <c r="AC4" s="5" t="n">
        <v>26</v>
      </c>
      <c r="AD4" s="5" t="n">
        <v>27</v>
      </c>
      <c r="AE4" s="5" t="n">
        <v>28</v>
      </c>
      <c r="AF4" s="5" t="n">
        <v>29</v>
      </c>
      <c r="AG4" s="5" t="n">
        <v>30</v>
      </c>
      <c r="AH4" s="5" t="n">
        <v>31</v>
      </c>
      <c r="AI4" s="30" t="s">
        <v>126</v>
      </c>
      <c r="AJ4" s="30" t="s">
        <v>127</v>
      </c>
      <c r="AK4" s="30" t="s">
        <v>128</v>
      </c>
      <c r="AL4" s="30" t="s">
        <v>129</v>
      </c>
      <c r="AM4" s="30" t="s">
        <v>130</v>
      </c>
    </row>
    <row r="5" customFormat="false" ht="15" hidden="false" customHeight="false" outlineLevel="0" collapsed="false">
      <c r="A5" s="16"/>
      <c r="B5" s="16"/>
      <c r="C5" s="16"/>
      <c r="D5" s="23" t="s">
        <v>36</v>
      </c>
      <c r="E5" s="31" t="s">
        <v>37</v>
      </c>
      <c r="F5" s="31" t="s">
        <v>38</v>
      </c>
      <c r="G5" s="23" t="s">
        <v>39</v>
      </c>
      <c r="H5" s="23" t="s">
        <v>33</v>
      </c>
      <c r="I5" s="23" t="s">
        <v>34</v>
      </c>
      <c r="J5" s="23" t="s">
        <v>35</v>
      </c>
      <c r="K5" s="23" t="s">
        <v>36</v>
      </c>
      <c r="L5" s="31" t="s">
        <v>37</v>
      </c>
      <c r="M5" s="31" t="s">
        <v>38</v>
      </c>
      <c r="N5" s="23" t="s">
        <v>39</v>
      </c>
      <c r="O5" s="23" t="s">
        <v>33</v>
      </c>
      <c r="P5" s="23" t="s">
        <v>34</v>
      </c>
      <c r="Q5" s="23" t="s">
        <v>35</v>
      </c>
      <c r="R5" s="23" t="s">
        <v>36</v>
      </c>
      <c r="S5" s="31" t="s">
        <v>37</v>
      </c>
      <c r="T5" s="31" t="s">
        <v>38</v>
      </c>
      <c r="U5" s="23" t="s">
        <v>39</v>
      </c>
      <c r="V5" s="23" t="s">
        <v>33</v>
      </c>
      <c r="W5" s="23" t="s">
        <v>34</v>
      </c>
      <c r="X5" s="23" t="s">
        <v>35</v>
      </c>
      <c r="Y5" s="23" t="s">
        <v>36</v>
      </c>
      <c r="Z5" s="31" t="s">
        <v>37</v>
      </c>
      <c r="AA5" s="31" t="s">
        <v>38</v>
      </c>
      <c r="AB5" s="23" t="s">
        <v>39</v>
      </c>
      <c r="AC5" s="23" t="s">
        <v>33</v>
      </c>
      <c r="AD5" s="23" t="s">
        <v>34</v>
      </c>
      <c r="AE5" s="23" t="s">
        <v>35</v>
      </c>
      <c r="AF5" s="23" t="s">
        <v>36</v>
      </c>
      <c r="AG5" s="31" t="s">
        <v>37</v>
      </c>
      <c r="AH5" s="31" t="s">
        <v>38</v>
      </c>
      <c r="AI5" s="30"/>
      <c r="AJ5" s="30"/>
      <c r="AK5" s="30"/>
      <c r="AL5" s="30"/>
      <c r="AM5" s="30"/>
    </row>
    <row r="6" customFormat="false" ht="15" hidden="false" customHeight="false" outlineLevel="0" collapsed="false">
      <c r="A6" s="16"/>
      <c r="B6" s="16"/>
      <c r="C6" s="32" t="s">
        <v>131</v>
      </c>
      <c r="D6" s="33" t="str">
        <f aca="false">LEFT(INDEX(Норми!$C$5:$I$5,MATCH(D$5,Норми!$C$4:$I$4,0)),3)</f>
        <v>Вис</v>
      </c>
      <c r="E6" s="34" t="str">
        <f aca="false">LEFT(INDEX(Норми!$C$5:$I$5,MATCH(E$5,Норми!$C$4:$I$4,0)),3)</f>
        <v>Пік</v>
      </c>
      <c r="F6" s="34" t="str">
        <f aca="false">LEFT(INDEX(Норми!$C$5:$I$5,MATCH(F$5,Норми!$C$4:$I$4,0)),3)</f>
        <v>Пік</v>
      </c>
      <c r="G6" s="33" t="str">
        <f aca="false">LEFT(INDEX(Норми!$C$5:$I$5,MATCH(G$5,Норми!$C$4:$I$4,0)),3)</f>
        <v>Вис</v>
      </c>
      <c r="H6" s="33" t="str">
        <f aca="false">LEFT(INDEX(Норми!$C$5:$I$5,MATCH(H$5,Норми!$C$4:$I$4,0)),3)</f>
        <v>Низ</v>
      </c>
      <c r="I6" s="33" t="str">
        <f aca="false">LEFT(INDEX(Норми!$C$5:$I$5,MATCH(I$5,Норми!$C$4:$I$4,0)),3)</f>
        <v>Низ</v>
      </c>
      <c r="J6" s="33" t="str">
        <f aca="false">LEFT(INDEX(Норми!$C$5:$I$5,MATCH(J$5,Норми!$C$4:$I$4,0)),3)</f>
        <v>Сер</v>
      </c>
      <c r="K6" s="33" t="str">
        <f aca="false">LEFT(INDEX(Норми!$C$5:$I$5,MATCH(K$5,Норми!$C$4:$I$4,0)),3)</f>
        <v>Вис</v>
      </c>
      <c r="L6" s="34" t="str">
        <f aca="false">LEFT(INDEX(Норми!$C$5:$I$5,MATCH(L$5,Норми!$C$4:$I$4,0)),3)</f>
        <v>Пік</v>
      </c>
      <c r="M6" s="34" t="str">
        <f aca="false">LEFT(INDEX(Норми!$C$5:$I$5,MATCH(M$5,Норми!$C$4:$I$4,0)),3)</f>
        <v>Пік</v>
      </c>
      <c r="N6" s="33" t="str">
        <f aca="false">LEFT(INDEX(Норми!$C$5:$I$5,MATCH(N$5,Норми!$C$4:$I$4,0)),3)</f>
        <v>Вис</v>
      </c>
      <c r="O6" s="33" t="str">
        <f aca="false">LEFT(INDEX(Норми!$C$5:$I$5,MATCH(O$5,Норми!$C$4:$I$4,0)),3)</f>
        <v>Низ</v>
      </c>
      <c r="P6" s="33" t="str">
        <f aca="false">LEFT(INDEX(Норми!$C$5:$I$5,MATCH(P$5,Норми!$C$4:$I$4,0)),3)</f>
        <v>Низ</v>
      </c>
      <c r="Q6" s="33" t="str">
        <f aca="false">LEFT(INDEX(Норми!$C$5:$I$5,MATCH(Q$5,Норми!$C$4:$I$4,0)),3)</f>
        <v>Сер</v>
      </c>
      <c r="R6" s="33" t="str">
        <f aca="false">LEFT(INDEX(Норми!$C$5:$I$5,MATCH(R$5,Норми!$C$4:$I$4,0)),3)</f>
        <v>Вис</v>
      </c>
      <c r="S6" s="34" t="str">
        <f aca="false">LEFT(INDEX(Норми!$C$5:$I$5,MATCH(S$5,Норми!$C$4:$I$4,0)),3)</f>
        <v>Пік</v>
      </c>
      <c r="T6" s="34" t="str">
        <f aca="false">LEFT(INDEX(Норми!$C$5:$I$5,MATCH(T$5,Норми!$C$4:$I$4,0)),3)</f>
        <v>Пік</v>
      </c>
      <c r="U6" s="33" t="str">
        <f aca="false">LEFT(INDEX(Норми!$C$5:$I$5,MATCH(U$5,Норми!$C$4:$I$4,0)),3)</f>
        <v>Вис</v>
      </c>
      <c r="V6" s="33" t="str">
        <f aca="false">LEFT(INDEX(Норми!$C$5:$I$5,MATCH(V$5,Норми!$C$4:$I$4,0)),3)</f>
        <v>Низ</v>
      </c>
      <c r="W6" s="33" t="str">
        <f aca="false">LEFT(INDEX(Норми!$C$5:$I$5,MATCH(W$5,Норми!$C$4:$I$4,0)),3)</f>
        <v>Низ</v>
      </c>
      <c r="X6" s="33" t="str">
        <f aca="false">LEFT(INDEX(Норми!$C$5:$I$5,MATCH(X$5,Норми!$C$4:$I$4,0)),3)</f>
        <v>Сер</v>
      </c>
      <c r="Y6" s="33" t="str">
        <f aca="false">LEFT(INDEX(Норми!$C$5:$I$5,MATCH(Y$5,Норми!$C$4:$I$4,0)),3)</f>
        <v>Вис</v>
      </c>
      <c r="Z6" s="34" t="str">
        <f aca="false">LEFT(INDEX(Норми!$C$5:$I$5,MATCH(Z$5,Норми!$C$4:$I$4,0)),3)</f>
        <v>Пік</v>
      </c>
      <c r="AA6" s="34" t="str">
        <f aca="false">LEFT(INDEX(Норми!$C$5:$I$5,MATCH(AA$5,Норми!$C$4:$I$4,0)),3)</f>
        <v>Пік</v>
      </c>
      <c r="AB6" s="33" t="str">
        <f aca="false">LEFT(INDEX(Норми!$C$5:$I$5,MATCH(AB$5,Норми!$C$4:$I$4,0)),3)</f>
        <v>Вис</v>
      </c>
      <c r="AC6" s="33" t="str">
        <f aca="false">LEFT(INDEX(Норми!$C$5:$I$5,MATCH(AC$5,Норми!$C$4:$I$4,0)),3)</f>
        <v>Низ</v>
      </c>
      <c r="AD6" s="33" t="str">
        <f aca="false">LEFT(INDEX(Норми!$C$5:$I$5,MATCH(AD$5,Норми!$C$4:$I$4,0)),3)</f>
        <v>Низ</v>
      </c>
      <c r="AE6" s="33" t="str">
        <f aca="false">LEFT(INDEX(Норми!$C$5:$I$5,MATCH(AE$5,Норми!$C$4:$I$4,0)),3)</f>
        <v>Сер</v>
      </c>
      <c r="AF6" s="33" t="str">
        <f aca="false">LEFT(INDEX(Норми!$C$5:$I$5,MATCH(AF$5,Норми!$C$4:$I$4,0)),3)</f>
        <v>Вис</v>
      </c>
      <c r="AG6" s="34" t="str">
        <f aca="false">LEFT(INDEX(Норми!$C$5:$I$5,MATCH(AG$5,Норми!$C$4:$I$4,0)),3)</f>
        <v>Пік</v>
      </c>
      <c r="AH6" s="34" t="str">
        <f aca="false">LEFT(INDEX(Норми!$C$5:$I$5,MATCH(AH$5,Норми!$C$4:$I$4,0)),3)</f>
        <v>Пік</v>
      </c>
      <c r="AI6" s="30"/>
      <c r="AJ6" s="30"/>
      <c r="AK6" s="30"/>
      <c r="AL6" s="30"/>
      <c r="AM6" s="30"/>
    </row>
    <row r="7" customFormat="false" ht="15" hidden="true" customHeight="false" outlineLevel="1" collapsed="false">
      <c r="C7" s="35" t="s">
        <v>132</v>
      </c>
      <c r="D7" s="36" t="n">
        <f aca="false">INDEX(Зміни!$C$13:$I$13,MATCH(D$5,Зміни!$C$12:$I$12,0))</f>
        <v>7.5</v>
      </c>
      <c r="E7" s="36" t="n">
        <f aca="false">INDEX(Зміни!$C$13:$I$13,MATCH(E$5,Зміни!$C$12:$I$12,0))</f>
        <v>7.5</v>
      </c>
      <c r="F7" s="36" t="n">
        <f aca="false">INDEX(Зміни!$C$13:$I$13,MATCH(F$5,Зміни!$C$12:$I$12,0))</f>
        <v>7.5</v>
      </c>
      <c r="G7" s="36" t="n">
        <f aca="false">INDEX(Зміни!$C$13:$I$13,MATCH(G$5,Зміни!$C$12:$I$12,0))</f>
        <v>7.5</v>
      </c>
      <c r="H7" s="36" t="n">
        <f aca="false">INDEX(Зміни!$C$13:$I$13,MATCH(H$5,Зміни!$C$12:$I$12,0))</f>
        <v>7.5</v>
      </c>
      <c r="I7" s="36" t="n">
        <f aca="false">INDEX(Зміни!$C$13:$I$13,MATCH(I$5,Зміни!$C$12:$I$12,0))</f>
        <v>7.5</v>
      </c>
      <c r="J7" s="36" t="n">
        <f aca="false">INDEX(Зміни!$C$13:$I$13,MATCH(J$5,Зміни!$C$12:$I$12,0))</f>
        <v>7.5</v>
      </c>
      <c r="K7" s="36" t="n">
        <f aca="false">INDEX(Зміни!$C$13:$I$13,MATCH(K$5,Зміни!$C$12:$I$12,0))</f>
        <v>7.5</v>
      </c>
      <c r="L7" s="36" t="n">
        <f aca="false">INDEX(Зміни!$C$13:$I$13,MATCH(L$5,Зміни!$C$12:$I$12,0))</f>
        <v>7.5</v>
      </c>
      <c r="M7" s="36" t="n">
        <f aca="false">INDEX(Зміни!$C$13:$I$13,MATCH(M$5,Зміни!$C$12:$I$12,0))</f>
        <v>7.5</v>
      </c>
      <c r="N7" s="36" t="n">
        <f aca="false">INDEX(Зміни!$C$13:$I$13,MATCH(N$5,Зміни!$C$12:$I$12,0))</f>
        <v>7.5</v>
      </c>
      <c r="O7" s="36" t="n">
        <f aca="false">INDEX(Зміни!$C$13:$I$13,MATCH(O$5,Зміни!$C$12:$I$12,0))</f>
        <v>7.5</v>
      </c>
      <c r="P7" s="36" t="n">
        <f aca="false">INDEX(Зміни!$C$13:$I$13,MATCH(P$5,Зміни!$C$12:$I$12,0))</f>
        <v>7.5</v>
      </c>
      <c r="Q7" s="36" t="n">
        <f aca="false">INDEX(Зміни!$C$13:$I$13,MATCH(Q$5,Зміни!$C$12:$I$12,0))</f>
        <v>7.5</v>
      </c>
      <c r="R7" s="36" t="n">
        <f aca="false">INDEX(Зміни!$C$13:$I$13,MATCH(R$5,Зміни!$C$12:$I$12,0))</f>
        <v>7.5</v>
      </c>
      <c r="S7" s="36" t="n">
        <f aca="false">INDEX(Зміни!$C$13:$I$13,MATCH(S$5,Зміни!$C$12:$I$12,0))</f>
        <v>7.5</v>
      </c>
      <c r="T7" s="36" t="n">
        <f aca="false">INDEX(Зміни!$C$13:$I$13,MATCH(T$5,Зміни!$C$12:$I$12,0))</f>
        <v>7.5</v>
      </c>
      <c r="U7" s="36" t="n">
        <f aca="false">INDEX(Зміни!$C$13:$I$13,MATCH(U$5,Зміни!$C$12:$I$12,0))</f>
        <v>7.5</v>
      </c>
      <c r="V7" s="36" t="n">
        <f aca="false">INDEX(Зміни!$C$13:$I$13,MATCH(V$5,Зміни!$C$12:$I$12,0))</f>
        <v>7.5</v>
      </c>
      <c r="W7" s="36" t="n">
        <f aca="false">INDEX(Зміни!$C$13:$I$13,MATCH(W$5,Зміни!$C$12:$I$12,0))</f>
        <v>7.5</v>
      </c>
      <c r="X7" s="36" t="n">
        <f aca="false">INDEX(Зміни!$C$13:$I$13,MATCH(X$5,Зміни!$C$12:$I$12,0))</f>
        <v>7.5</v>
      </c>
      <c r="Y7" s="36" t="n">
        <f aca="false">INDEX(Зміни!$C$13:$I$13,MATCH(Y$5,Зміни!$C$12:$I$12,0))</f>
        <v>7.5</v>
      </c>
      <c r="Z7" s="36" t="n">
        <f aca="false">INDEX(Зміни!$C$13:$I$13,MATCH(Z$5,Зміни!$C$12:$I$12,0))</f>
        <v>7.5</v>
      </c>
      <c r="AA7" s="36" t="n">
        <f aca="false">INDEX(Зміни!$C$13:$I$13,MATCH(AA$5,Зміни!$C$12:$I$12,0))</f>
        <v>7.5</v>
      </c>
      <c r="AB7" s="36" t="n">
        <f aca="false">INDEX(Зміни!$C$13:$I$13,MATCH(AB$5,Зміни!$C$12:$I$12,0))</f>
        <v>7.5</v>
      </c>
      <c r="AC7" s="36" t="n">
        <f aca="false">INDEX(Зміни!$C$13:$I$13,MATCH(AC$5,Зміни!$C$12:$I$12,0))</f>
        <v>7.5</v>
      </c>
      <c r="AD7" s="36" t="n">
        <f aca="false">INDEX(Зміни!$C$13:$I$13,MATCH(AD$5,Зміни!$C$12:$I$12,0))</f>
        <v>7.5</v>
      </c>
      <c r="AE7" s="36" t="n">
        <f aca="false">INDEX(Зміни!$C$13:$I$13,MATCH(AE$5,Зміни!$C$12:$I$12,0))</f>
        <v>7.5</v>
      </c>
      <c r="AF7" s="36" t="n">
        <f aca="false">INDEX(Зміни!$C$13:$I$13,MATCH(AF$5,Зміни!$C$12:$I$12,0))</f>
        <v>7.5</v>
      </c>
      <c r="AG7" s="36" t="n">
        <f aca="false">INDEX(Зміни!$C$13:$I$13,MATCH(AG$5,Зміни!$C$12:$I$12,0))</f>
        <v>7.5</v>
      </c>
      <c r="AH7" s="36" t="n">
        <f aca="false">INDEX(Зміни!$C$13:$I$13,MATCH(AH$5,Зміни!$C$12:$I$12,0))</f>
        <v>7.5</v>
      </c>
    </row>
    <row r="8" customFormat="false" ht="15" hidden="true" customHeight="false" outlineLevel="1" collapsed="false">
      <c r="C8" s="35" t="s">
        <v>133</v>
      </c>
      <c r="D8" s="36" t="n">
        <f aca="false">INDEX(Зміни!$C$14:$I$14,MATCH(D$5,Зміни!$C$12:$I$12,0))</f>
        <v>8</v>
      </c>
      <c r="E8" s="36" t="n">
        <f aca="false">INDEX(Зміни!$C$14:$I$14,MATCH(E$5,Зміни!$C$12:$I$12,0))</f>
        <v>8</v>
      </c>
      <c r="F8" s="36" t="n">
        <f aca="false">INDEX(Зміни!$C$14:$I$14,MATCH(F$5,Зміни!$C$12:$I$12,0))</f>
        <v>8</v>
      </c>
      <c r="G8" s="36" t="n">
        <f aca="false">INDEX(Зміни!$C$14:$I$14,MATCH(G$5,Зміни!$C$12:$I$12,0))</f>
        <v>8</v>
      </c>
      <c r="H8" s="36" t="n">
        <f aca="false">INDEX(Зміни!$C$14:$I$14,MATCH(H$5,Зміни!$C$12:$I$12,0))</f>
        <v>8</v>
      </c>
      <c r="I8" s="36" t="n">
        <f aca="false">INDEX(Зміни!$C$14:$I$14,MATCH(I$5,Зміни!$C$12:$I$12,0))</f>
        <v>8</v>
      </c>
      <c r="J8" s="36" t="n">
        <f aca="false">INDEX(Зміни!$C$14:$I$14,MATCH(J$5,Зміни!$C$12:$I$12,0))</f>
        <v>8</v>
      </c>
      <c r="K8" s="36" t="n">
        <f aca="false">INDEX(Зміни!$C$14:$I$14,MATCH(K$5,Зміни!$C$12:$I$12,0))</f>
        <v>8</v>
      </c>
      <c r="L8" s="36" t="n">
        <f aca="false">INDEX(Зміни!$C$14:$I$14,MATCH(L$5,Зміни!$C$12:$I$12,0))</f>
        <v>8</v>
      </c>
      <c r="M8" s="36" t="n">
        <f aca="false">INDEX(Зміни!$C$14:$I$14,MATCH(M$5,Зміни!$C$12:$I$12,0))</f>
        <v>8</v>
      </c>
      <c r="N8" s="36" t="n">
        <f aca="false">INDEX(Зміни!$C$14:$I$14,MATCH(N$5,Зміни!$C$12:$I$12,0))</f>
        <v>8</v>
      </c>
      <c r="O8" s="36" t="n">
        <f aca="false">INDEX(Зміни!$C$14:$I$14,MATCH(O$5,Зміни!$C$12:$I$12,0))</f>
        <v>8</v>
      </c>
      <c r="P8" s="36" t="n">
        <f aca="false">INDEX(Зміни!$C$14:$I$14,MATCH(P$5,Зміни!$C$12:$I$12,0))</f>
        <v>8</v>
      </c>
      <c r="Q8" s="36" t="n">
        <f aca="false">INDEX(Зміни!$C$14:$I$14,MATCH(Q$5,Зміни!$C$12:$I$12,0))</f>
        <v>8</v>
      </c>
      <c r="R8" s="36" t="n">
        <f aca="false">INDEX(Зміни!$C$14:$I$14,MATCH(R$5,Зміни!$C$12:$I$12,0))</f>
        <v>8</v>
      </c>
      <c r="S8" s="36" t="n">
        <f aca="false">INDEX(Зміни!$C$14:$I$14,MATCH(S$5,Зміни!$C$12:$I$12,0))</f>
        <v>8</v>
      </c>
      <c r="T8" s="36" t="n">
        <f aca="false">INDEX(Зміни!$C$14:$I$14,MATCH(T$5,Зміни!$C$12:$I$12,0))</f>
        <v>8</v>
      </c>
      <c r="U8" s="36" t="n">
        <f aca="false">INDEX(Зміни!$C$14:$I$14,MATCH(U$5,Зміни!$C$12:$I$12,0))</f>
        <v>8</v>
      </c>
      <c r="V8" s="36" t="n">
        <f aca="false">INDEX(Зміни!$C$14:$I$14,MATCH(V$5,Зміни!$C$12:$I$12,0))</f>
        <v>8</v>
      </c>
      <c r="W8" s="36" t="n">
        <f aca="false">INDEX(Зміни!$C$14:$I$14,MATCH(W$5,Зміни!$C$12:$I$12,0))</f>
        <v>8</v>
      </c>
      <c r="X8" s="36" t="n">
        <f aca="false">INDEX(Зміни!$C$14:$I$14,MATCH(X$5,Зміни!$C$12:$I$12,0))</f>
        <v>8</v>
      </c>
      <c r="Y8" s="36" t="n">
        <f aca="false">INDEX(Зміни!$C$14:$I$14,MATCH(Y$5,Зміни!$C$12:$I$12,0))</f>
        <v>8</v>
      </c>
      <c r="Z8" s="36" t="n">
        <f aca="false">INDEX(Зміни!$C$14:$I$14,MATCH(Z$5,Зміни!$C$12:$I$12,0))</f>
        <v>8</v>
      </c>
      <c r="AA8" s="36" t="n">
        <f aca="false">INDEX(Зміни!$C$14:$I$14,MATCH(AA$5,Зміни!$C$12:$I$12,0))</f>
        <v>8</v>
      </c>
      <c r="AB8" s="36" t="n">
        <f aca="false">INDEX(Зміни!$C$14:$I$14,MATCH(AB$5,Зміни!$C$12:$I$12,0))</f>
        <v>8</v>
      </c>
      <c r="AC8" s="36" t="n">
        <f aca="false">INDEX(Зміни!$C$14:$I$14,MATCH(AC$5,Зміни!$C$12:$I$12,0))</f>
        <v>8</v>
      </c>
      <c r="AD8" s="36" t="n">
        <f aca="false">INDEX(Зміни!$C$14:$I$14,MATCH(AD$5,Зміни!$C$12:$I$12,0))</f>
        <v>8</v>
      </c>
      <c r="AE8" s="36" t="n">
        <f aca="false">INDEX(Зміни!$C$14:$I$14,MATCH(AE$5,Зміни!$C$12:$I$12,0))</f>
        <v>8</v>
      </c>
      <c r="AF8" s="36" t="n">
        <f aca="false">INDEX(Зміни!$C$14:$I$14,MATCH(AF$5,Зміни!$C$12:$I$12,0))</f>
        <v>8</v>
      </c>
      <c r="AG8" s="36" t="n">
        <f aca="false">INDEX(Зміни!$C$14:$I$14,MATCH(AG$5,Зміни!$C$12:$I$12,0))</f>
        <v>8</v>
      </c>
      <c r="AH8" s="36" t="n">
        <f aca="false">INDEX(Зміни!$C$14:$I$14,MATCH(AH$5,Зміни!$C$12:$I$12,0))</f>
        <v>8</v>
      </c>
    </row>
    <row r="9" customFormat="false" ht="15" hidden="true" customHeight="false" outlineLevel="1" collapsed="false">
      <c r="C9" s="35" t="s">
        <v>134</v>
      </c>
      <c r="D9" s="36" t="n">
        <f aca="false">INDEX(Зміни!$C$15:$I$15,MATCH(D$5,Зміни!$C$12:$I$12,0))</f>
        <v>7.5</v>
      </c>
      <c r="E9" s="36" t="n">
        <f aca="false">INDEX(Зміни!$C$15:$I$15,MATCH(E$5,Зміни!$C$12:$I$12,0))</f>
        <v>7.5</v>
      </c>
      <c r="F9" s="36" t="n">
        <f aca="false">INDEX(Зміни!$C$15:$I$15,MATCH(F$5,Зміни!$C$12:$I$12,0))</f>
        <v>7.5</v>
      </c>
      <c r="G9" s="36" t="n">
        <f aca="false">INDEX(Зміни!$C$15:$I$15,MATCH(G$5,Зміни!$C$12:$I$12,0))</f>
        <v>7</v>
      </c>
      <c r="H9" s="36" t="n">
        <f aca="false">INDEX(Зміни!$C$15:$I$15,MATCH(H$5,Зміни!$C$12:$I$12,0))</f>
        <v>7.5</v>
      </c>
      <c r="I9" s="36" t="n">
        <f aca="false">INDEX(Зміни!$C$15:$I$15,MATCH(I$5,Зміни!$C$12:$I$12,0))</f>
        <v>7.5</v>
      </c>
      <c r="J9" s="36" t="n">
        <f aca="false">INDEX(Зміни!$C$15:$I$15,MATCH(J$5,Зміни!$C$12:$I$12,0))</f>
        <v>7.5</v>
      </c>
      <c r="K9" s="36" t="n">
        <f aca="false">INDEX(Зміни!$C$15:$I$15,MATCH(K$5,Зміни!$C$12:$I$12,0))</f>
        <v>7.5</v>
      </c>
      <c r="L9" s="36" t="n">
        <f aca="false">INDEX(Зміни!$C$15:$I$15,MATCH(L$5,Зміни!$C$12:$I$12,0))</f>
        <v>7.5</v>
      </c>
      <c r="M9" s="36" t="n">
        <f aca="false">INDEX(Зміни!$C$15:$I$15,MATCH(M$5,Зміни!$C$12:$I$12,0))</f>
        <v>7.5</v>
      </c>
      <c r="N9" s="36" t="n">
        <f aca="false">INDEX(Зміни!$C$15:$I$15,MATCH(N$5,Зміни!$C$12:$I$12,0))</f>
        <v>7</v>
      </c>
      <c r="O9" s="36" t="n">
        <f aca="false">INDEX(Зміни!$C$15:$I$15,MATCH(O$5,Зміни!$C$12:$I$12,0))</f>
        <v>7.5</v>
      </c>
      <c r="P9" s="36" t="n">
        <f aca="false">INDEX(Зміни!$C$15:$I$15,MATCH(P$5,Зміни!$C$12:$I$12,0))</f>
        <v>7.5</v>
      </c>
      <c r="Q9" s="36" t="n">
        <f aca="false">INDEX(Зміни!$C$15:$I$15,MATCH(Q$5,Зміни!$C$12:$I$12,0))</f>
        <v>7.5</v>
      </c>
      <c r="R9" s="36" t="n">
        <f aca="false">INDEX(Зміни!$C$15:$I$15,MATCH(R$5,Зміни!$C$12:$I$12,0))</f>
        <v>7.5</v>
      </c>
      <c r="S9" s="36" t="n">
        <f aca="false">INDEX(Зміни!$C$15:$I$15,MATCH(S$5,Зміни!$C$12:$I$12,0))</f>
        <v>7.5</v>
      </c>
      <c r="T9" s="36" t="n">
        <f aca="false">INDEX(Зміни!$C$15:$I$15,MATCH(T$5,Зміни!$C$12:$I$12,0))</f>
        <v>7.5</v>
      </c>
      <c r="U9" s="36" t="n">
        <f aca="false">INDEX(Зміни!$C$15:$I$15,MATCH(U$5,Зміни!$C$12:$I$12,0))</f>
        <v>7</v>
      </c>
      <c r="V9" s="36" t="n">
        <f aca="false">INDEX(Зміни!$C$15:$I$15,MATCH(V$5,Зміни!$C$12:$I$12,0))</f>
        <v>7.5</v>
      </c>
      <c r="W9" s="36" t="n">
        <f aca="false">INDEX(Зміни!$C$15:$I$15,MATCH(W$5,Зміни!$C$12:$I$12,0))</f>
        <v>7.5</v>
      </c>
      <c r="X9" s="36" t="n">
        <f aca="false">INDEX(Зміни!$C$15:$I$15,MATCH(X$5,Зміни!$C$12:$I$12,0))</f>
        <v>7.5</v>
      </c>
      <c r="Y9" s="36" t="n">
        <f aca="false">INDEX(Зміни!$C$15:$I$15,MATCH(Y$5,Зміни!$C$12:$I$12,0))</f>
        <v>7.5</v>
      </c>
      <c r="Z9" s="36" t="n">
        <f aca="false">INDEX(Зміни!$C$15:$I$15,MATCH(Z$5,Зміни!$C$12:$I$12,0))</f>
        <v>7.5</v>
      </c>
      <c r="AA9" s="36" t="n">
        <f aca="false">INDEX(Зміни!$C$15:$I$15,MATCH(AA$5,Зміни!$C$12:$I$12,0))</f>
        <v>7.5</v>
      </c>
      <c r="AB9" s="36" t="n">
        <f aca="false">INDEX(Зміни!$C$15:$I$15,MATCH(AB$5,Зміни!$C$12:$I$12,0))</f>
        <v>7</v>
      </c>
      <c r="AC9" s="36" t="n">
        <f aca="false">INDEX(Зміни!$C$15:$I$15,MATCH(AC$5,Зміни!$C$12:$I$12,0))</f>
        <v>7.5</v>
      </c>
      <c r="AD9" s="36" t="n">
        <f aca="false">INDEX(Зміни!$C$15:$I$15,MATCH(AD$5,Зміни!$C$12:$I$12,0))</f>
        <v>7.5</v>
      </c>
      <c r="AE9" s="36" t="n">
        <f aca="false">INDEX(Зміни!$C$15:$I$15,MATCH(AE$5,Зміни!$C$12:$I$12,0))</f>
        <v>7.5</v>
      </c>
      <c r="AF9" s="36" t="n">
        <f aca="false">INDEX(Зміни!$C$15:$I$15,MATCH(AF$5,Зміни!$C$12:$I$12,0))</f>
        <v>7.5</v>
      </c>
      <c r="AG9" s="36" t="n">
        <f aca="false">INDEX(Зміни!$C$15:$I$15,MATCH(AG$5,Зміни!$C$12:$I$12,0))</f>
        <v>7.5</v>
      </c>
      <c r="AH9" s="36" t="n">
        <f aca="false">INDEX(Зміни!$C$15:$I$15,MATCH(AH$5,Зміни!$C$12:$I$12,0))</f>
        <v>7.5</v>
      </c>
    </row>
    <row r="10" customFormat="false" ht="15" hidden="true" customHeight="false" outlineLevel="1" collapsed="false">
      <c r="C10" s="35" t="s">
        <v>135</v>
      </c>
      <c r="D10" s="36" t="n">
        <f aca="false">INDEX(Зміни!$C$16:$I$16,MATCH(D$5,Зміни!$C$12:$I$12,0))</f>
        <v>6</v>
      </c>
      <c r="E10" s="36" t="n">
        <f aca="false">INDEX(Зміни!$C$16:$I$16,MATCH(E$5,Зміни!$C$12:$I$12,0))</f>
        <v>6</v>
      </c>
      <c r="F10" s="36" t="n">
        <f aca="false">INDEX(Зміни!$C$16:$I$16,MATCH(F$5,Зміни!$C$12:$I$12,0))</f>
        <v>6</v>
      </c>
      <c r="G10" s="36" t="n">
        <f aca="false">INDEX(Зміни!$C$16:$I$16,MATCH(G$5,Зміни!$C$12:$I$12,0))</f>
        <v>6</v>
      </c>
      <c r="H10" s="36" t="n">
        <f aca="false">INDEX(Зміни!$C$16:$I$16,MATCH(H$5,Зміни!$C$12:$I$12,0))</f>
        <v>6</v>
      </c>
      <c r="I10" s="36" t="n">
        <f aca="false">INDEX(Зміни!$C$16:$I$16,MATCH(I$5,Зміни!$C$12:$I$12,0))</f>
        <v>6</v>
      </c>
      <c r="J10" s="36" t="n">
        <f aca="false">INDEX(Зміни!$C$16:$I$16,MATCH(J$5,Зміни!$C$12:$I$12,0))</f>
        <v>6</v>
      </c>
      <c r="K10" s="36" t="n">
        <f aca="false">INDEX(Зміни!$C$16:$I$16,MATCH(K$5,Зміни!$C$12:$I$12,0))</f>
        <v>6</v>
      </c>
      <c r="L10" s="36" t="n">
        <f aca="false">INDEX(Зміни!$C$16:$I$16,MATCH(L$5,Зміни!$C$12:$I$12,0))</f>
        <v>6</v>
      </c>
      <c r="M10" s="36" t="n">
        <f aca="false">INDEX(Зміни!$C$16:$I$16,MATCH(M$5,Зміни!$C$12:$I$12,0))</f>
        <v>6</v>
      </c>
      <c r="N10" s="36" t="n">
        <f aca="false">INDEX(Зміни!$C$16:$I$16,MATCH(N$5,Зміни!$C$12:$I$12,0))</f>
        <v>6</v>
      </c>
      <c r="O10" s="36" t="n">
        <f aca="false">INDEX(Зміни!$C$16:$I$16,MATCH(O$5,Зміни!$C$12:$I$12,0))</f>
        <v>6</v>
      </c>
      <c r="P10" s="36" t="n">
        <f aca="false">INDEX(Зміни!$C$16:$I$16,MATCH(P$5,Зміни!$C$12:$I$12,0))</f>
        <v>6</v>
      </c>
      <c r="Q10" s="36" t="n">
        <f aca="false">INDEX(Зміни!$C$16:$I$16,MATCH(Q$5,Зміни!$C$12:$I$12,0))</f>
        <v>6</v>
      </c>
      <c r="R10" s="36" t="n">
        <f aca="false">INDEX(Зміни!$C$16:$I$16,MATCH(R$5,Зміни!$C$12:$I$12,0))</f>
        <v>6</v>
      </c>
      <c r="S10" s="36" t="n">
        <f aca="false">INDEX(Зміни!$C$16:$I$16,MATCH(S$5,Зміни!$C$12:$I$12,0))</f>
        <v>6</v>
      </c>
      <c r="T10" s="36" t="n">
        <f aca="false">INDEX(Зміни!$C$16:$I$16,MATCH(T$5,Зміни!$C$12:$I$12,0))</f>
        <v>6</v>
      </c>
      <c r="U10" s="36" t="n">
        <f aca="false">INDEX(Зміни!$C$16:$I$16,MATCH(U$5,Зміни!$C$12:$I$12,0))</f>
        <v>6</v>
      </c>
      <c r="V10" s="36" t="n">
        <f aca="false">INDEX(Зміни!$C$16:$I$16,MATCH(V$5,Зміни!$C$12:$I$12,0))</f>
        <v>6</v>
      </c>
      <c r="W10" s="36" t="n">
        <f aca="false">INDEX(Зміни!$C$16:$I$16,MATCH(W$5,Зміни!$C$12:$I$12,0))</f>
        <v>6</v>
      </c>
      <c r="X10" s="36" t="n">
        <f aca="false">INDEX(Зміни!$C$16:$I$16,MATCH(X$5,Зміни!$C$12:$I$12,0))</f>
        <v>6</v>
      </c>
      <c r="Y10" s="36" t="n">
        <f aca="false">INDEX(Зміни!$C$16:$I$16,MATCH(Y$5,Зміни!$C$12:$I$12,0))</f>
        <v>6</v>
      </c>
      <c r="Z10" s="36" t="n">
        <f aca="false">INDEX(Зміни!$C$16:$I$16,MATCH(Z$5,Зміни!$C$12:$I$12,0))</f>
        <v>6</v>
      </c>
      <c r="AA10" s="36" t="n">
        <f aca="false">INDEX(Зміни!$C$16:$I$16,MATCH(AA$5,Зміни!$C$12:$I$12,0))</f>
        <v>6</v>
      </c>
      <c r="AB10" s="36" t="n">
        <f aca="false">INDEX(Зміни!$C$16:$I$16,MATCH(AB$5,Зміни!$C$12:$I$12,0))</f>
        <v>6</v>
      </c>
      <c r="AC10" s="36" t="n">
        <f aca="false">INDEX(Зміни!$C$16:$I$16,MATCH(AC$5,Зміни!$C$12:$I$12,0))</f>
        <v>6</v>
      </c>
      <c r="AD10" s="36" t="n">
        <f aca="false">INDEX(Зміни!$C$16:$I$16,MATCH(AD$5,Зміни!$C$12:$I$12,0))</f>
        <v>6</v>
      </c>
      <c r="AE10" s="36" t="n">
        <f aca="false">INDEX(Зміни!$C$16:$I$16,MATCH(AE$5,Зміни!$C$12:$I$12,0))</f>
        <v>6</v>
      </c>
      <c r="AF10" s="36" t="n">
        <f aca="false">INDEX(Зміни!$C$16:$I$16,MATCH(AF$5,Зміни!$C$12:$I$12,0))</f>
        <v>6</v>
      </c>
      <c r="AG10" s="36" t="n">
        <f aca="false">INDEX(Зміни!$C$16:$I$16,MATCH(AG$5,Зміни!$C$12:$I$12,0))</f>
        <v>6</v>
      </c>
      <c r="AH10" s="36" t="n">
        <f aca="false">INDEX(Зміни!$C$16:$I$16,MATCH(AH$5,Зміни!$C$12:$I$12,0))</f>
        <v>6</v>
      </c>
    </row>
    <row r="12" customFormat="false" ht="15" hidden="false" customHeight="false" outlineLevel="0" collapsed="false">
      <c r="A12" s="21" t="s">
        <v>180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</row>
    <row r="13" customFormat="false" ht="15" hidden="false" customHeight="false" outlineLevel="0" collapsed="false">
      <c r="A13" s="8" t="n">
        <v>1</v>
      </c>
      <c r="B13" s="7" t="s">
        <v>99</v>
      </c>
      <c r="C13" s="37" t="s">
        <v>181</v>
      </c>
      <c r="D13" s="38" t="s">
        <v>49</v>
      </c>
      <c r="E13" s="38" t="s">
        <v>49</v>
      </c>
      <c r="F13" s="38" t="s">
        <v>49</v>
      </c>
      <c r="G13" s="38" t="s">
        <v>49</v>
      </c>
      <c r="H13" s="38"/>
      <c r="I13" s="38"/>
      <c r="J13" s="38" t="s">
        <v>49</v>
      </c>
      <c r="K13" s="38" t="s">
        <v>49</v>
      </c>
      <c r="L13" s="38" t="s">
        <v>49</v>
      </c>
      <c r="M13" s="38" t="s">
        <v>49</v>
      </c>
      <c r="N13" s="38"/>
      <c r="O13" s="38"/>
      <c r="P13" s="38" t="s">
        <v>41</v>
      </c>
      <c r="Q13" s="38" t="s">
        <v>41</v>
      </c>
      <c r="R13" s="38" t="s">
        <v>41</v>
      </c>
      <c r="S13" s="38" t="s">
        <v>41</v>
      </c>
      <c r="T13" s="38"/>
      <c r="U13" s="38"/>
      <c r="V13" s="38" t="s">
        <v>49</v>
      </c>
      <c r="W13" s="38" t="s">
        <v>49</v>
      </c>
      <c r="X13" s="38" t="s">
        <v>49</v>
      </c>
      <c r="Y13" s="38" t="s">
        <v>49</v>
      </c>
      <c r="Z13" s="38"/>
      <c r="AA13" s="38"/>
      <c r="AB13" s="38" t="s">
        <v>49</v>
      </c>
      <c r="AC13" s="38" t="s">
        <v>49</v>
      </c>
      <c r="AD13" s="38" t="s">
        <v>49</v>
      </c>
      <c r="AE13" s="38" t="s">
        <v>49</v>
      </c>
      <c r="AF13" s="38"/>
      <c r="AG13" s="38"/>
      <c r="AH13" s="38" t="s">
        <v>49</v>
      </c>
      <c r="AI13" s="8" t="n">
        <f aca="false">COUNTA(D13:AH13)</f>
        <v>21</v>
      </c>
      <c r="AJ13" s="39" t="n">
        <f aca="false">SUMPRODUCT((D13:AH13="Р")*$D$7:$AH$7)+SUMPRODUCT((D13:AH13="С")*$D$8:$AH$8)+SUMPRODUCT((D13:AH13="В")*$D$9:$AH$9)+SUMPRODUCT((D13:AH13="П")*$D$10:$AH$10)</f>
        <v>156.5</v>
      </c>
      <c r="AK13" s="8" t="n">
        <f aca="false">COLUMNS(D13:AH13)-AI13</f>
        <v>10</v>
      </c>
      <c r="AL13" s="8" t="n">
        <f aca="false">SUMPRODUCT((D13:AH13&lt;&gt;"")*(($D$5:$AH$5="Пт")+($D$5:$AH$5="Сб")))</f>
        <v>6</v>
      </c>
      <c r="AM13" s="26" t="n">
        <f aca="false">AJ13-Зміни!$C$19</f>
        <v>-19.5</v>
      </c>
    </row>
    <row r="14" customFormat="false" ht="15" hidden="false" customHeight="false" outlineLevel="0" collapsed="false">
      <c r="A14" s="8" t="n">
        <v>2</v>
      </c>
      <c r="B14" s="7" t="s">
        <v>99</v>
      </c>
      <c r="C14" s="37" t="s">
        <v>182</v>
      </c>
      <c r="D14" s="38"/>
      <c r="E14" s="38"/>
      <c r="F14" s="38" t="s">
        <v>41</v>
      </c>
      <c r="G14" s="38" t="s">
        <v>41</v>
      </c>
      <c r="H14" s="38" t="s">
        <v>49</v>
      </c>
      <c r="I14" s="38" t="s">
        <v>49</v>
      </c>
      <c r="J14" s="38"/>
      <c r="K14" s="38"/>
      <c r="L14" s="38" t="s">
        <v>41</v>
      </c>
      <c r="M14" s="38" t="s">
        <v>41</v>
      </c>
      <c r="N14" s="38" t="s">
        <v>49</v>
      </c>
      <c r="O14" s="38" t="s">
        <v>49</v>
      </c>
      <c r="P14" s="38" t="s">
        <v>49</v>
      </c>
      <c r="Q14" s="38"/>
      <c r="R14" s="38"/>
      <c r="S14" s="38"/>
      <c r="T14" s="38" t="s">
        <v>41</v>
      </c>
      <c r="U14" s="38" t="s">
        <v>41</v>
      </c>
      <c r="V14" s="38" t="s">
        <v>41</v>
      </c>
      <c r="W14" s="38" t="s">
        <v>41</v>
      </c>
      <c r="X14" s="38"/>
      <c r="Y14" s="38"/>
      <c r="Z14" s="38" t="s">
        <v>41</v>
      </c>
      <c r="AA14" s="38" t="s">
        <v>41</v>
      </c>
      <c r="AB14" s="38" t="s">
        <v>41</v>
      </c>
      <c r="AC14" s="38" t="s">
        <v>41</v>
      </c>
      <c r="AD14" s="38"/>
      <c r="AE14" s="38"/>
      <c r="AF14" s="38" t="s">
        <v>41</v>
      </c>
      <c r="AG14" s="38" t="s">
        <v>41</v>
      </c>
      <c r="AH14" s="38" t="s">
        <v>41</v>
      </c>
      <c r="AI14" s="8" t="n">
        <f aca="false">COUNTA(D14:AH14)</f>
        <v>20</v>
      </c>
      <c r="AJ14" s="39" t="n">
        <f aca="false">SUMPRODUCT((D14:AH14="Р")*$D$7:$AH$7)+SUMPRODUCT((D14:AH14="С")*$D$8:$AH$8)+SUMPRODUCT((D14:AH14="В")*$D$9:$AH$9)+SUMPRODUCT((D14:AH14="П")*$D$10:$AH$10)</f>
        <v>149.5</v>
      </c>
      <c r="AK14" s="8" t="n">
        <f aca="false">COLUMNS(D14:AH14)-AI14</f>
        <v>11</v>
      </c>
      <c r="AL14" s="8" t="n">
        <f aca="false">SUMPRODUCT((D14:AH14&lt;&gt;"")*(($D$5:$AH$5="Пт")+($D$5:$AH$5="Сб")))</f>
        <v>8</v>
      </c>
      <c r="AM14" s="26" t="n">
        <f aca="false">AJ14-Зміни!$C$19</f>
        <v>-26.5</v>
      </c>
    </row>
    <row r="15" customFormat="false" ht="15" hidden="false" customHeight="false" outlineLevel="0" collapsed="false">
      <c r="A15" s="8" t="n">
        <v>3</v>
      </c>
      <c r="B15" s="7" t="s">
        <v>99</v>
      </c>
      <c r="C15" s="37" t="s">
        <v>183</v>
      </c>
      <c r="D15" s="38" t="s">
        <v>41</v>
      </c>
      <c r="E15" s="38" t="s">
        <v>41</v>
      </c>
      <c r="F15" s="38"/>
      <c r="G15" s="38"/>
      <c r="H15" s="38" t="s">
        <v>41</v>
      </c>
      <c r="I15" s="38" t="s">
        <v>41</v>
      </c>
      <c r="J15" s="38" t="s">
        <v>41</v>
      </c>
      <c r="K15" s="38" t="s">
        <v>41</v>
      </c>
      <c r="L15" s="38"/>
      <c r="M15" s="38"/>
      <c r="N15" s="38" t="s">
        <v>41</v>
      </c>
      <c r="O15" s="38" t="s">
        <v>41</v>
      </c>
      <c r="P15" s="38"/>
      <c r="Q15" s="38" t="s">
        <v>49</v>
      </c>
      <c r="R15" s="38" t="s">
        <v>49</v>
      </c>
      <c r="S15" s="38" t="s">
        <v>49</v>
      </c>
      <c r="T15" s="38" t="s">
        <v>49</v>
      </c>
      <c r="U15" s="38" t="s">
        <v>49</v>
      </c>
      <c r="V15" s="38"/>
      <c r="W15" s="38"/>
      <c r="X15" s="38" t="s">
        <v>41</v>
      </c>
      <c r="Y15" s="38" t="s">
        <v>41</v>
      </c>
      <c r="Z15" s="38" t="s">
        <v>49</v>
      </c>
      <c r="AA15" s="38" t="s">
        <v>49</v>
      </c>
      <c r="AB15" s="38"/>
      <c r="AC15" s="38"/>
      <c r="AD15" s="38" t="s">
        <v>41</v>
      </c>
      <c r="AE15" s="38" t="s">
        <v>41</v>
      </c>
      <c r="AF15" s="38" t="s">
        <v>49</v>
      </c>
      <c r="AG15" s="38" t="s">
        <v>49</v>
      </c>
      <c r="AH15" s="38"/>
      <c r="AI15" s="8" t="n">
        <f aca="false">COUNTA(D15:AH15)</f>
        <v>21</v>
      </c>
      <c r="AJ15" s="39" t="n">
        <f aca="false">SUMPRODUCT((D15:AH15="Р")*$D$7:$AH$7)+SUMPRODUCT((D15:AH15="С")*$D$8:$AH$8)+SUMPRODUCT((D15:AH15="В")*$D$9:$AH$9)+SUMPRODUCT((D15:AH15="П")*$D$10:$AH$10)</f>
        <v>157</v>
      </c>
      <c r="AK15" s="8" t="n">
        <f aca="false">COLUMNS(D15:AH15)-AI15</f>
        <v>10</v>
      </c>
      <c r="AL15" s="8" t="n">
        <f aca="false">SUMPRODUCT((D15:AH15&lt;&gt;"")*(($D$5:$AH$5="Пт")+($D$5:$AH$5="Сб")))</f>
        <v>6</v>
      </c>
      <c r="AM15" s="26" t="n">
        <f aca="false">AJ15-Зміни!$C$19</f>
        <v>-19</v>
      </c>
    </row>
    <row r="16" customFormat="false" ht="15" hidden="false" customHeight="false" outlineLevel="0" collapsed="false">
      <c r="C16" s="35" t="s">
        <v>140</v>
      </c>
      <c r="D16" s="40" t="n">
        <f aca="false">COUNTIF(D$13:D$15,"Р")-INDEX(Норми!$C$12:$I$47,MATCH("Су-шеф|Р",Норми!$L$12:$L$47,0),MATCH(D$5,Норми!$C$11:$I$11,0))</f>
        <v>0</v>
      </c>
      <c r="E16" s="40" t="n">
        <f aca="false">COUNTIF(E$13:E$15,"Р")-INDEX(Норми!$C$12:$I$47,MATCH("Су-шеф|Р",Норми!$L$12:$L$47,0),MATCH(E$5,Норми!$C$11:$I$11,0))</f>
        <v>0</v>
      </c>
      <c r="F16" s="40" t="n">
        <f aca="false">COUNTIF(F$13:F$15,"Р")-INDEX(Норми!$C$12:$I$47,MATCH("Су-шеф|Р",Норми!$L$12:$L$47,0),MATCH(F$5,Норми!$C$11:$I$11,0))</f>
        <v>0</v>
      </c>
      <c r="G16" s="40" t="n">
        <f aca="false">COUNTIF(G$13:G$15,"Р")-INDEX(Норми!$C$12:$I$47,MATCH("Су-шеф|Р",Норми!$L$12:$L$47,0),MATCH(G$5,Норми!$C$11:$I$11,0))</f>
        <v>0</v>
      </c>
      <c r="H16" s="40" t="n">
        <f aca="false">COUNTIF(H$13:H$15,"Р")-INDEX(Норми!$C$12:$I$47,MATCH("Су-шеф|Р",Норми!$L$12:$L$47,0),MATCH(H$5,Норми!$C$11:$I$11,0))</f>
        <v>0</v>
      </c>
      <c r="I16" s="40" t="n">
        <f aca="false">COUNTIF(I$13:I$15,"Р")-INDEX(Норми!$C$12:$I$47,MATCH("Су-шеф|Р",Норми!$L$12:$L$47,0),MATCH(I$5,Норми!$C$11:$I$11,0))</f>
        <v>0</v>
      </c>
      <c r="J16" s="40" t="n">
        <f aca="false">COUNTIF(J$13:J$15,"Р")-INDEX(Норми!$C$12:$I$47,MATCH("Су-шеф|Р",Норми!$L$12:$L$47,0),MATCH(J$5,Норми!$C$11:$I$11,0))</f>
        <v>0</v>
      </c>
      <c r="K16" s="40" t="n">
        <f aca="false">COUNTIF(K$13:K$15,"Р")-INDEX(Норми!$C$12:$I$47,MATCH("Су-шеф|Р",Норми!$L$12:$L$47,0),MATCH(K$5,Норми!$C$11:$I$11,0))</f>
        <v>0</v>
      </c>
      <c r="L16" s="40" t="n">
        <f aca="false">COUNTIF(L$13:L$15,"Р")-INDEX(Норми!$C$12:$I$47,MATCH("Су-шеф|Р",Норми!$L$12:$L$47,0),MATCH(L$5,Норми!$C$11:$I$11,0))</f>
        <v>0</v>
      </c>
      <c r="M16" s="40" t="n">
        <f aca="false">COUNTIF(M$13:M$15,"Р")-INDEX(Норми!$C$12:$I$47,MATCH("Су-шеф|Р",Норми!$L$12:$L$47,0),MATCH(M$5,Норми!$C$11:$I$11,0))</f>
        <v>0</v>
      </c>
      <c r="N16" s="40" t="n">
        <f aca="false">COUNTIF(N$13:N$15,"Р")-INDEX(Норми!$C$12:$I$47,MATCH("Су-шеф|Р",Норми!$L$12:$L$47,0),MATCH(N$5,Норми!$C$11:$I$11,0))</f>
        <v>0</v>
      </c>
      <c r="O16" s="40" t="n">
        <f aca="false">COUNTIF(O$13:O$15,"Р")-INDEX(Норми!$C$12:$I$47,MATCH("Су-шеф|Р",Норми!$L$12:$L$47,0),MATCH(O$5,Норми!$C$11:$I$11,0))</f>
        <v>0</v>
      </c>
      <c r="P16" s="40" t="n">
        <f aca="false">COUNTIF(P$13:P$15,"Р")-INDEX(Норми!$C$12:$I$47,MATCH("Су-шеф|Р",Норми!$L$12:$L$47,0),MATCH(P$5,Норми!$C$11:$I$11,0))</f>
        <v>0</v>
      </c>
      <c r="Q16" s="40" t="n">
        <f aca="false">COUNTIF(Q$13:Q$15,"Р")-INDEX(Норми!$C$12:$I$47,MATCH("Су-шеф|Р",Норми!$L$12:$L$47,0),MATCH(Q$5,Норми!$C$11:$I$11,0))</f>
        <v>0</v>
      </c>
      <c r="R16" s="40" t="n">
        <f aca="false">COUNTIF(R$13:R$15,"Р")-INDEX(Норми!$C$12:$I$47,MATCH("Су-шеф|Р",Норми!$L$12:$L$47,0),MATCH(R$5,Норми!$C$11:$I$11,0))</f>
        <v>0</v>
      </c>
      <c r="S16" s="40" t="n">
        <f aca="false">COUNTIF(S$13:S$15,"Р")-INDEX(Норми!$C$12:$I$47,MATCH("Су-шеф|Р",Норми!$L$12:$L$47,0),MATCH(S$5,Норми!$C$11:$I$11,0))</f>
        <v>0</v>
      </c>
      <c r="T16" s="40" t="n">
        <f aca="false">COUNTIF(T$13:T$15,"Р")-INDEX(Норми!$C$12:$I$47,MATCH("Су-шеф|Р",Норми!$L$12:$L$47,0),MATCH(T$5,Норми!$C$11:$I$11,0))</f>
        <v>0</v>
      </c>
      <c r="U16" s="40" t="n">
        <f aca="false">COUNTIF(U$13:U$15,"Р")-INDEX(Норми!$C$12:$I$47,MATCH("Су-шеф|Р",Норми!$L$12:$L$47,0),MATCH(U$5,Норми!$C$11:$I$11,0))</f>
        <v>0</v>
      </c>
      <c r="V16" s="40" t="n">
        <f aca="false">COUNTIF(V$13:V$15,"Р")-INDEX(Норми!$C$12:$I$47,MATCH("Су-шеф|Р",Норми!$L$12:$L$47,0),MATCH(V$5,Норми!$C$11:$I$11,0))</f>
        <v>0</v>
      </c>
      <c r="W16" s="40" t="n">
        <f aca="false">COUNTIF(W$13:W$15,"Р")-INDEX(Норми!$C$12:$I$47,MATCH("Су-шеф|Р",Норми!$L$12:$L$47,0),MATCH(W$5,Норми!$C$11:$I$11,0))</f>
        <v>0</v>
      </c>
      <c r="X16" s="40" t="n">
        <f aca="false">COUNTIF(X$13:X$15,"Р")-INDEX(Норми!$C$12:$I$47,MATCH("Су-шеф|Р",Норми!$L$12:$L$47,0),MATCH(X$5,Норми!$C$11:$I$11,0))</f>
        <v>0</v>
      </c>
      <c r="Y16" s="40" t="n">
        <f aca="false">COUNTIF(Y$13:Y$15,"Р")-INDEX(Норми!$C$12:$I$47,MATCH("Су-шеф|Р",Норми!$L$12:$L$47,0),MATCH(Y$5,Норми!$C$11:$I$11,0))</f>
        <v>0</v>
      </c>
      <c r="Z16" s="40" t="n">
        <f aca="false">COUNTIF(Z$13:Z$15,"Р")-INDEX(Норми!$C$12:$I$47,MATCH("Су-шеф|Р",Норми!$L$12:$L$47,0),MATCH(Z$5,Норми!$C$11:$I$11,0))</f>
        <v>0</v>
      </c>
      <c r="AA16" s="40" t="n">
        <f aca="false">COUNTIF(AA$13:AA$15,"Р")-INDEX(Норми!$C$12:$I$47,MATCH("Су-шеф|Р",Норми!$L$12:$L$47,0),MATCH(AA$5,Норми!$C$11:$I$11,0))</f>
        <v>0</v>
      </c>
      <c r="AB16" s="40" t="n">
        <f aca="false">COUNTIF(AB$13:AB$15,"Р")-INDEX(Норми!$C$12:$I$47,MATCH("Су-шеф|Р",Норми!$L$12:$L$47,0),MATCH(AB$5,Норми!$C$11:$I$11,0))</f>
        <v>0</v>
      </c>
      <c r="AC16" s="40" t="n">
        <f aca="false">COUNTIF(AC$13:AC$15,"Р")-INDEX(Норми!$C$12:$I$47,MATCH("Су-шеф|Р",Норми!$L$12:$L$47,0),MATCH(AC$5,Норми!$C$11:$I$11,0))</f>
        <v>0</v>
      </c>
      <c r="AD16" s="40" t="n">
        <f aca="false">COUNTIF(AD$13:AD$15,"Р")-INDEX(Норми!$C$12:$I$47,MATCH("Су-шеф|Р",Норми!$L$12:$L$47,0),MATCH(AD$5,Норми!$C$11:$I$11,0))</f>
        <v>0</v>
      </c>
      <c r="AE16" s="40" t="n">
        <f aca="false">COUNTIF(AE$13:AE$15,"Р")-INDEX(Норми!$C$12:$I$47,MATCH("Су-шеф|Р",Норми!$L$12:$L$47,0),MATCH(AE$5,Норми!$C$11:$I$11,0))</f>
        <v>0</v>
      </c>
      <c r="AF16" s="40" t="n">
        <f aca="false">COUNTIF(AF$13:AF$15,"Р")-INDEX(Норми!$C$12:$I$47,MATCH("Су-шеф|Р",Норми!$L$12:$L$47,0),MATCH(AF$5,Норми!$C$11:$I$11,0))</f>
        <v>0</v>
      </c>
      <c r="AG16" s="40" t="n">
        <f aca="false">COUNTIF(AG$13:AG$15,"Р")-INDEX(Норми!$C$12:$I$47,MATCH("Су-шеф|Р",Норми!$L$12:$L$47,0),MATCH(AG$5,Норми!$C$11:$I$11,0))</f>
        <v>0</v>
      </c>
      <c r="AH16" s="40" t="n">
        <f aca="false">COUNTIF(AH$13:AH$15,"Р")-INDEX(Норми!$C$12:$I$47,MATCH("Су-шеф|Р",Норми!$L$12:$L$47,0),MATCH(AH$5,Норми!$C$11:$I$11,0))</f>
        <v>0</v>
      </c>
    </row>
    <row r="17" customFormat="false" ht="15" hidden="false" customHeight="false" outlineLevel="0" collapsed="false">
      <c r="C17" s="35" t="s">
        <v>141</v>
      </c>
      <c r="D17" s="40" t="n">
        <f aca="false">COUNTIF(D$13:D$15,"В")-INDEX(Норми!$C$12:$I$47,MATCH("Су-шеф|В",Норми!$L$12:$L$47,0),MATCH(D$5,Норми!$C$11:$I$11,0))</f>
        <v>0</v>
      </c>
      <c r="E17" s="40" t="n">
        <f aca="false">COUNTIF(E$13:E$15,"В")-INDEX(Норми!$C$12:$I$47,MATCH("Су-шеф|В",Норми!$L$12:$L$47,0),MATCH(E$5,Норми!$C$11:$I$11,0))</f>
        <v>0</v>
      </c>
      <c r="F17" s="40" t="n">
        <f aca="false">COUNTIF(F$13:F$15,"В")-INDEX(Норми!$C$12:$I$47,MATCH("Су-шеф|В",Норми!$L$12:$L$47,0),MATCH(F$5,Норми!$C$11:$I$11,0))</f>
        <v>0</v>
      </c>
      <c r="G17" s="40" t="n">
        <f aca="false">COUNTIF(G$13:G$15,"В")-INDEX(Норми!$C$12:$I$47,MATCH("Су-шеф|В",Норми!$L$12:$L$47,0),MATCH(G$5,Норми!$C$11:$I$11,0))</f>
        <v>0</v>
      </c>
      <c r="H17" s="40" t="n">
        <f aca="false">COUNTIF(H$13:H$15,"В")-INDEX(Норми!$C$12:$I$47,MATCH("Су-шеф|В",Норми!$L$12:$L$47,0),MATCH(H$5,Норми!$C$11:$I$11,0))</f>
        <v>0</v>
      </c>
      <c r="I17" s="40" t="n">
        <f aca="false">COUNTIF(I$13:I$15,"В")-INDEX(Норми!$C$12:$I$47,MATCH("Су-шеф|В",Норми!$L$12:$L$47,0),MATCH(I$5,Норми!$C$11:$I$11,0))</f>
        <v>0</v>
      </c>
      <c r="J17" s="40" t="n">
        <f aca="false">COUNTIF(J$13:J$15,"В")-INDEX(Норми!$C$12:$I$47,MATCH("Су-шеф|В",Норми!$L$12:$L$47,0),MATCH(J$5,Норми!$C$11:$I$11,0))</f>
        <v>0</v>
      </c>
      <c r="K17" s="40" t="n">
        <f aca="false">COUNTIF(K$13:K$15,"В")-INDEX(Норми!$C$12:$I$47,MATCH("Су-шеф|В",Норми!$L$12:$L$47,0),MATCH(K$5,Норми!$C$11:$I$11,0))</f>
        <v>0</v>
      </c>
      <c r="L17" s="40" t="n">
        <f aca="false">COUNTIF(L$13:L$15,"В")-INDEX(Норми!$C$12:$I$47,MATCH("Су-шеф|В",Норми!$L$12:$L$47,0),MATCH(L$5,Норми!$C$11:$I$11,0))</f>
        <v>0</v>
      </c>
      <c r="M17" s="40" t="n">
        <f aca="false">COUNTIF(M$13:M$15,"В")-INDEX(Норми!$C$12:$I$47,MATCH("Су-шеф|В",Норми!$L$12:$L$47,0),MATCH(M$5,Норми!$C$11:$I$11,0))</f>
        <v>0</v>
      </c>
      <c r="N17" s="40" t="n">
        <f aca="false">COUNTIF(N$13:N$15,"В")-INDEX(Норми!$C$12:$I$47,MATCH("Су-шеф|В",Норми!$L$12:$L$47,0),MATCH(N$5,Норми!$C$11:$I$11,0))</f>
        <v>0</v>
      </c>
      <c r="O17" s="40" t="n">
        <f aca="false">COUNTIF(O$13:O$15,"В")-INDEX(Норми!$C$12:$I$47,MATCH("Су-шеф|В",Норми!$L$12:$L$47,0),MATCH(O$5,Норми!$C$11:$I$11,0))</f>
        <v>0</v>
      </c>
      <c r="P17" s="40" t="n">
        <f aca="false">COUNTIF(P$13:P$15,"В")-INDEX(Норми!$C$12:$I$47,MATCH("Су-шеф|В",Норми!$L$12:$L$47,0),MATCH(P$5,Норми!$C$11:$I$11,0))</f>
        <v>0</v>
      </c>
      <c r="Q17" s="40" t="n">
        <f aca="false">COUNTIF(Q$13:Q$15,"В")-INDEX(Норми!$C$12:$I$47,MATCH("Су-шеф|В",Норми!$L$12:$L$47,0),MATCH(Q$5,Норми!$C$11:$I$11,0))</f>
        <v>0</v>
      </c>
      <c r="R17" s="40" t="n">
        <f aca="false">COUNTIF(R$13:R$15,"В")-INDEX(Норми!$C$12:$I$47,MATCH("Су-шеф|В",Норми!$L$12:$L$47,0),MATCH(R$5,Норми!$C$11:$I$11,0))</f>
        <v>0</v>
      </c>
      <c r="S17" s="40" t="n">
        <f aca="false">COUNTIF(S$13:S$15,"В")-INDEX(Норми!$C$12:$I$47,MATCH("Су-шеф|В",Норми!$L$12:$L$47,0),MATCH(S$5,Норми!$C$11:$I$11,0))</f>
        <v>0</v>
      </c>
      <c r="T17" s="40" t="n">
        <f aca="false">COUNTIF(T$13:T$15,"В")-INDEX(Норми!$C$12:$I$47,MATCH("Су-шеф|В",Норми!$L$12:$L$47,0),MATCH(T$5,Норми!$C$11:$I$11,0))</f>
        <v>0</v>
      </c>
      <c r="U17" s="40" t="n">
        <f aca="false">COUNTIF(U$13:U$15,"В")-INDEX(Норми!$C$12:$I$47,MATCH("Су-шеф|В",Норми!$L$12:$L$47,0),MATCH(U$5,Норми!$C$11:$I$11,0))</f>
        <v>0</v>
      </c>
      <c r="V17" s="40" t="n">
        <f aca="false">COUNTIF(V$13:V$15,"В")-INDEX(Норми!$C$12:$I$47,MATCH("Су-шеф|В",Норми!$L$12:$L$47,0),MATCH(V$5,Норми!$C$11:$I$11,0))</f>
        <v>0</v>
      </c>
      <c r="W17" s="40" t="n">
        <f aca="false">COUNTIF(W$13:W$15,"В")-INDEX(Норми!$C$12:$I$47,MATCH("Су-шеф|В",Норми!$L$12:$L$47,0),MATCH(W$5,Норми!$C$11:$I$11,0))</f>
        <v>0</v>
      </c>
      <c r="X17" s="40" t="n">
        <f aca="false">COUNTIF(X$13:X$15,"В")-INDEX(Норми!$C$12:$I$47,MATCH("Су-шеф|В",Норми!$L$12:$L$47,0),MATCH(X$5,Норми!$C$11:$I$11,0))</f>
        <v>0</v>
      </c>
      <c r="Y17" s="40" t="n">
        <f aca="false">COUNTIF(Y$13:Y$15,"В")-INDEX(Норми!$C$12:$I$47,MATCH("Су-шеф|В",Норми!$L$12:$L$47,0),MATCH(Y$5,Норми!$C$11:$I$11,0))</f>
        <v>0</v>
      </c>
      <c r="Z17" s="40" t="n">
        <f aca="false">COUNTIF(Z$13:Z$15,"В")-INDEX(Норми!$C$12:$I$47,MATCH("Су-шеф|В",Норми!$L$12:$L$47,0),MATCH(Z$5,Норми!$C$11:$I$11,0))</f>
        <v>0</v>
      </c>
      <c r="AA17" s="40" t="n">
        <f aca="false">COUNTIF(AA$13:AA$15,"В")-INDEX(Норми!$C$12:$I$47,MATCH("Су-шеф|В",Норми!$L$12:$L$47,0),MATCH(AA$5,Норми!$C$11:$I$11,0))</f>
        <v>0</v>
      </c>
      <c r="AB17" s="40" t="n">
        <f aca="false">COUNTIF(AB$13:AB$15,"В")-INDEX(Норми!$C$12:$I$47,MATCH("Су-шеф|В",Норми!$L$12:$L$47,0),MATCH(AB$5,Норми!$C$11:$I$11,0))</f>
        <v>0</v>
      </c>
      <c r="AC17" s="40" t="n">
        <f aca="false">COUNTIF(AC$13:AC$15,"В")-INDEX(Норми!$C$12:$I$47,MATCH("Су-шеф|В",Норми!$L$12:$L$47,0),MATCH(AC$5,Норми!$C$11:$I$11,0))</f>
        <v>0</v>
      </c>
      <c r="AD17" s="40" t="n">
        <f aca="false">COUNTIF(AD$13:AD$15,"В")-INDEX(Норми!$C$12:$I$47,MATCH("Су-шеф|В",Норми!$L$12:$L$47,0),MATCH(AD$5,Норми!$C$11:$I$11,0))</f>
        <v>0</v>
      </c>
      <c r="AE17" s="40" t="n">
        <f aca="false">COUNTIF(AE$13:AE$15,"В")-INDEX(Норми!$C$12:$I$47,MATCH("Су-шеф|В",Норми!$L$12:$L$47,0),MATCH(AE$5,Норми!$C$11:$I$11,0))</f>
        <v>0</v>
      </c>
      <c r="AF17" s="40" t="n">
        <f aca="false">COUNTIF(AF$13:AF$15,"В")-INDEX(Норми!$C$12:$I$47,MATCH("Су-шеф|В",Норми!$L$12:$L$47,0),MATCH(AF$5,Норми!$C$11:$I$11,0))</f>
        <v>0</v>
      </c>
      <c r="AG17" s="40" t="n">
        <f aca="false">COUNTIF(AG$13:AG$15,"В")-INDEX(Норми!$C$12:$I$47,MATCH("Су-шеф|В",Норми!$L$12:$L$47,0),MATCH(AG$5,Норми!$C$11:$I$11,0))</f>
        <v>0</v>
      </c>
      <c r="AH17" s="40" t="n">
        <f aca="false">COUNTIF(AH$13:AH$15,"В")-INDEX(Норми!$C$12:$I$47,MATCH("Су-шеф|В",Норми!$L$12:$L$47,0),MATCH(AH$5,Норми!$C$11:$I$11,0))</f>
        <v>0</v>
      </c>
    </row>
    <row r="19" customFormat="false" ht="15" hidden="false" customHeight="false" outlineLevel="0" collapsed="false">
      <c r="A19" s="21" t="s">
        <v>184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</row>
    <row r="20" customFormat="false" ht="15" hidden="false" customHeight="false" outlineLevel="0" collapsed="false">
      <c r="A20" s="8" t="n">
        <v>4</v>
      </c>
      <c r="B20" s="7" t="s">
        <v>100</v>
      </c>
      <c r="C20" s="37" t="s">
        <v>185</v>
      </c>
      <c r="D20" s="38"/>
      <c r="E20" s="38" t="s">
        <v>41</v>
      </c>
      <c r="F20" s="38" t="s">
        <v>41</v>
      </c>
      <c r="G20" s="38" t="s">
        <v>41</v>
      </c>
      <c r="H20" s="38"/>
      <c r="I20" s="38"/>
      <c r="J20" s="38" t="s">
        <v>49</v>
      </c>
      <c r="K20" s="38" t="s">
        <v>49</v>
      </c>
      <c r="L20" s="38" t="s">
        <v>49</v>
      </c>
      <c r="M20" s="38" t="s">
        <v>49</v>
      </c>
      <c r="N20" s="38" t="s">
        <v>45</v>
      </c>
      <c r="O20" s="38"/>
      <c r="P20" s="38"/>
      <c r="Q20" s="38" t="s">
        <v>49</v>
      </c>
      <c r="R20" s="38" t="s">
        <v>49</v>
      </c>
      <c r="S20" s="38" t="s">
        <v>49</v>
      </c>
      <c r="T20" s="38" t="s">
        <v>49</v>
      </c>
      <c r="U20" s="38" t="s">
        <v>49</v>
      </c>
      <c r="V20" s="38"/>
      <c r="W20" s="38" t="s">
        <v>49</v>
      </c>
      <c r="X20" s="38" t="s">
        <v>49</v>
      </c>
      <c r="Y20" s="38" t="s">
        <v>49</v>
      </c>
      <c r="Z20" s="38" t="s">
        <v>49</v>
      </c>
      <c r="AA20" s="38" t="s">
        <v>49</v>
      </c>
      <c r="AB20" s="38"/>
      <c r="AC20" s="38"/>
      <c r="AD20" s="38" t="s">
        <v>49</v>
      </c>
      <c r="AE20" s="38" t="s">
        <v>49</v>
      </c>
      <c r="AF20" s="38" t="s">
        <v>49</v>
      </c>
      <c r="AG20" s="38" t="s">
        <v>49</v>
      </c>
      <c r="AH20" s="38" t="s">
        <v>49</v>
      </c>
      <c r="AI20" s="8" t="n">
        <f aca="false">COUNTA(D20:AH20)</f>
        <v>23</v>
      </c>
      <c r="AJ20" s="39" t="n">
        <f aca="false">SUMPRODUCT((D20:AH20="Р")*$D$7:$AH$7)+SUMPRODUCT((D20:AH20="С")*$D$8:$AH$8)+SUMPRODUCT((D20:AH20="В")*$D$9:$AH$9)+SUMPRODUCT((D20:AH20="П")*$D$10:$AH$10)</f>
        <v>172.5</v>
      </c>
      <c r="AK20" s="8" t="n">
        <f aca="false">COLUMNS(D20:AH20)-AI20</f>
        <v>8</v>
      </c>
      <c r="AL20" s="8" t="n">
        <f aca="false">SUMPRODUCT((D20:AH20&lt;&gt;"")*(($D$5:$AH$5="Пт")+($D$5:$AH$5="Сб")))</f>
        <v>10</v>
      </c>
      <c r="AM20" s="26" t="n">
        <f aca="false">AJ20-Зміни!$C$19</f>
        <v>-3.5</v>
      </c>
    </row>
    <row r="21" customFormat="false" ht="15" hidden="false" customHeight="false" outlineLevel="0" collapsed="false">
      <c r="A21" s="8" t="n">
        <v>5</v>
      </c>
      <c r="B21" s="7" t="s">
        <v>100</v>
      </c>
      <c r="C21" s="37" t="s">
        <v>186</v>
      </c>
      <c r="D21" s="38" t="s">
        <v>49</v>
      </c>
      <c r="E21" s="38" t="s">
        <v>49</v>
      </c>
      <c r="F21" s="38" t="s">
        <v>49</v>
      </c>
      <c r="G21" s="38" t="s">
        <v>49</v>
      </c>
      <c r="H21" s="38" t="s">
        <v>49</v>
      </c>
      <c r="I21" s="38"/>
      <c r="J21" s="38"/>
      <c r="K21" s="38" t="s">
        <v>49</v>
      </c>
      <c r="L21" s="38" t="s">
        <v>49</v>
      </c>
      <c r="M21" s="38" t="s">
        <v>49</v>
      </c>
      <c r="N21" s="38" t="s">
        <v>49</v>
      </c>
      <c r="O21" s="38" t="s">
        <v>49</v>
      </c>
      <c r="P21" s="38"/>
      <c r="Q21" s="38" t="s">
        <v>41</v>
      </c>
      <c r="R21" s="38" t="s">
        <v>41</v>
      </c>
      <c r="S21" s="38" t="s">
        <v>49</v>
      </c>
      <c r="T21" s="38" t="s">
        <v>49</v>
      </c>
      <c r="U21" s="38"/>
      <c r="V21" s="38"/>
      <c r="W21" s="38"/>
      <c r="X21" s="38" t="s">
        <v>41</v>
      </c>
      <c r="Y21" s="38"/>
      <c r="Z21" s="38" t="s">
        <v>49</v>
      </c>
      <c r="AA21" s="38" t="s">
        <v>49</v>
      </c>
      <c r="AB21" s="38" t="s">
        <v>49</v>
      </c>
      <c r="AC21" s="38" t="s">
        <v>49</v>
      </c>
      <c r="AD21" s="38"/>
      <c r="AE21" s="38" t="s">
        <v>41</v>
      </c>
      <c r="AF21" s="38" t="s">
        <v>49</v>
      </c>
      <c r="AG21" s="38" t="s">
        <v>49</v>
      </c>
      <c r="AH21" s="38" t="s">
        <v>49</v>
      </c>
      <c r="AI21" s="8" t="n">
        <f aca="false">COUNTA(D21:AH21)</f>
        <v>23</v>
      </c>
      <c r="AJ21" s="39" t="n">
        <f aca="false">SUMPRODUCT((D21:AH21="Р")*$D$7:$AH$7)+SUMPRODUCT((D21:AH21="С")*$D$8:$AH$8)+SUMPRODUCT((D21:AH21="В")*$D$9:$AH$9)+SUMPRODUCT((D21:AH21="П")*$D$10:$AH$10)</f>
        <v>171</v>
      </c>
      <c r="AK21" s="8" t="n">
        <f aca="false">COLUMNS(D21:AH21)-AI21</f>
        <v>8</v>
      </c>
      <c r="AL21" s="8" t="n">
        <f aca="false">SUMPRODUCT((D21:AH21&lt;&gt;"")*(($D$5:$AH$5="Пт")+($D$5:$AH$5="Сб")))</f>
        <v>10</v>
      </c>
      <c r="AM21" s="26" t="n">
        <f aca="false">AJ21-Зміни!$C$19</f>
        <v>-5</v>
      </c>
    </row>
    <row r="22" customFormat="false" ht="15" hidden="false" customHeight="false" outlineLevel="0" collapsed="false">
      <c r="A22" s="8" t="n">
        <v>6</v>
      </c>
      <c r="B22" s="7" t="s">
        <v>100</v>
      </c>
      <c r="C22" s="37" t="s">
        <v>187</v>
      </c>
      <c r="D22" s="38" t="s">
        <v>49</v>
      </c>
      <c r="E22" s="38" t="s">
        <v>49</v>
      </c>
      <c r="F22" s="38" t="s">
        <v>49</v>
      </c>
      <c r="G22" s="38"/>
      <c r="H22" s="38" t="s">
        <v>41</v>
      </c>
      <c r="I22" s="38" t="s">
        <v>49</v>
      </c>
      <c r="J22" s="38"/>
      <c r="K22" s="38"/>
      <c r="L22" s="38" t="s">
        <v>41</v>
      </c>
      <c r="M22" s="38" t="s">
        <v>41</v>
      </c>
      <c r="N22" s="38" t="s">
        <v>41</v>
      </c>
      <c r="O22" s="38" t="s">
        <v>41</v>
      </c>
      <c r="P22" s="38" t="s">
        <v>41</v>
      </c>
      <c r="Q22" s="38"/>
      <c r="R22" s="38"/>
      <c r="S22" s="38" t="s">
        <v>41</v>
      </c>
      <c r="T22" s="38" t="s">
        <v>41</v>
      </c>
      <c r="U22" s="38" t="s">
        <v>41</v>
      </c>
      <c r="V22" s="38" t="s">
        <v>41</v>
      </c>
      <c r="W22" s="38" t="s">
        <v>41</v>
      </c>
      <c r="X22" s="38"/>
      <c r="Y22" s="38" t="s">
        <v>41</v>
      </c>
      <c r="Z22" s="38" t="s">
        <v>41</v>
      </c>
      <c r="AA22" s="38" t="s">
        <v>41</v>
      </c>
      <c r="AB22" s="38" t="s">
        <v>41</v>
      </c>
      <c r="AC22" s="38" t="s">
        <v>41</v>
      </c>
      <c r="AD22" s="38"/>
      <c r="AE22" s="38"/>
      <c r="AF22" s="38" t="s">
        <v>41</v>
      </c>
      <c r="AG22" s="38" t="s">
        <v>41</v>
      </c>
      <c r="AH22" s="38" t="s">
        <v>41</v>
      </c>
      <c r="AI22" s="8" t="n">
        <f aca="false">COUNTA(D22:AH22)</f>
        <v>23</v>
      </c>
      <c r="AJ22" s="39" t="n">
        <f aca="false">SUMPRODUCT((D22:AH22="Р")*$D$7:$AH$7)+SUMPRODUCT((D22:AH22="С")*$D$8:$AH$8)+SUMPRODUCT((D22:AH22="В")*$D$9:$AH$9)+SUMPRODUCT((D22:AH22="П")*$D$10:$AH$10)</f>
        <v>172.5</v>
      </c>
      <c r="AK22" s="8" t="n">
        <f aca="false">COLUMNS(D22:AH22)-AI22</f>
        <v>8</v>
      </c>
      <c r="AL22" s="8" t="n">
        <f aca="false">SUMPRODUCT((D22:AH22&lt;&gt;"")*(($D$5:$AH$5="Пт")+($D$5:$AH$5="Сб")))</f>
        <v>10</v>
      </c>
      <c r="AM22" s="26" t="n">
        <f aca="false">AJ22-Зміни!$C$19</f>
        <v>-3.5</v>
      </c>
    </row>
    <row r="23" customFormat="false" ht="15" hidden="false" customHeight="false" outlineLevel="0" collapsed="false">
      <c r="A23" s="8" t="n">
        <v>7</v>
      </c>
      <c r="B23" s="7" t="s">
        <v>100</v>
      </c>
      <c r="C23" s="37" t="s">
        <v>188</v>
      </c>
      <c r="D23" s="38" t="s">
        <v>41</v>
      </c>
      <c r="E23" s="38" t="s">
        <v>45</v>
      </c>
      <c r="F23" s="38" t="s">
        <v>45</v>
      </c>
      <c r="G23" s="38" t="s">
        <v>45</v>
      </c>
      <c r="H23" s="38"/>
      <c r="I23" s="38" t="s">
        <v>41</v>
      </c>
      <c r="J23" s="38" t="s">
        <v>41</v>
      </c>
      <c r="K23" s="38" t="s">
        <v>41</v>
      </c>
      <c r="L23" s="38" t="s">
        <v>45</v>
      </c>
      <c r="M23" s="38" t="s">
        <v>45</v>
      </c>
      <c r="N23" s="38"/>
      <c r="O23" s="38"/>
      <c r="P23" s="38" t="s">
        <v>49</v>
      </c>
      <c r="Q23" s="38"/>
      <c r="R23" s="38" t="s">
        <v>49</v>
      </c>
      <c r="S23" s="38" t="s">
        <v>45</v>
      </c>
      <c r="T23" s="38" t="s">
        <v>45</v>
      </c>
      <c r="U23" s="38" t="s">
        <v>45</v>
      </c>
      <c r="V23" s="38" t="s">
        <v>49</v>
      </c>
      <c r="W23" s="38"/>
      <c r="X23" s="38"/>
      <c r="Y23" s="38" t="s">
        <v>49</v>
      </c>
      <c r="Z23" s="38" t="s">
        <v>45</v>
      </c>
      <c r="AA23" s="38" t="s">
        <v>45</v>
      </c>
      <c r="AB23" s="38" t="s">
        <v>45</v>
      </c>
      <c r="AC23" s="38"/>
      <c r="AD23" s="38" t="s">
        <v>41</v>
      </c>
      <c r="AE23" s="38"/>
      <c r="AF23" s="38"/>
      <c r="AG23" s="38" t="s">
        <v>45</v>
      </c>
      <c r="AH23" s="38" t="s">
        <v>45</v>
      </c>
      <c r="AI23" s="8" t="n">
        <f aca="false">COUNTA(D23:AH23)</f>
        <v>22</v>
      </c>
      <c r="AJ23" s="39" t="n">
        <f aca="false">SUMPRODUCT((D23:AH23="Р")*$D$7:$AH$7)+SUMPRODUCT((D23:AH23="С")*$D$8:$AH$8)+SUMPRODUCT((D23:AH23="В")*$D$9:$AH$9)+SUMPRODUCT((D23:AH23="П")*$D$10:$AH$10)</f>
        <v>171.5</v>
      </c>
      <c r="AK23" s="8" t="n">
        <f aca="false">COLUMNS(D23:AH23)-AI23</f>
        <v>9</v>
      </c>
      <c r="AL23" s="8" t="n">
        <f aca="false">SUMPRODUCT((D23:AH23&lt;&gt;"")*(($D$5:$AH$5="Пт")+($D$5:$AH$5="Сб")))</f>
        <v>10</v>
      </c>
      <c r="AM23" s="26" t="n">
        <f aca="false">AJ23-Зміни!$C$19</f>
        <v>-4.5</v>
      </c>
    </row>
    <row r="24" customFormat="false" ht="15" hidden="false" customHeight="false" outlineLevel="0" collapsed="false">
      <c r="C24" s="35" t="s">
        <v>140</v>
      </c>
      <c r="D24" s="40" t="n">
        <f aca="false">COUNTIF(D$20:D$23,"Р")-INDEX(Норми!$C$12:$I$47,MATCH("Кухар гриль|Р",Норми!$L$12:$L$47,0),MATCH(D$5,Норми!$C$11:$I$11,0))</f>
        <v>0</v>
      </c>
      <c r="E24" s="40" t="n">
        <f aca="false">COUNTIF(E$20:E$23,"Р")-INDEX(Норми!$C$12:$I$47,MATCH("Кухар гриль|Р",Норми!$L$12:$L$47,0),MATCH(E$5,Норми!$C$11:$I$11,0))</f>
        <v>0</v>
      </c>
      <c r="F24" s="40" t="n">
        <f aca="false">COUNTIF(F$20:F$23,"Р")-INDEX(Норми!$C$12:$I$47,MATCH("Кухар гриль|Р",Норми!$L$12:$L$47,0),MATCH(F$5,Норми!$C$11:$I$11,0))</f>
        <v>0</v>
      </c>
      <c r="G24" s="40" t="n">
        <f aca="false">COUNTIF(G$20:G$23,"Р")-INDEX(Норми!$C$12:$I$47,MATCH("Кухар гриль|Р",Норми!$L$12:$L$47,0),MATCH(G$5,Норми!$C$11:$I$11,0))</f>
        <v>0</v>
      </c>
      <c r="H24" s="40" t="n">
        <f aca="false">COUNTIF(H$20:H$23,"Р")-INDEX(Норми!$C$12:$I$47,MATCH("Кухар гриль|Р",Норми!$L$12:$L$47,0),MATCH(H$5,Норми!$C$11:$I$11,0))</f>
        <v>0</v>
      </c>
      <c r="I24" s="40" t="n">
        <f aca="false">COUNTIF(I$20:I$23,"Р")-INDEX(Норми!$C$12:$I$47,MATCH("Кухар гриль|Р",Норми!$L$12:$L$47,0),MATCH(I$5,Норми!$C$11:$I$11,0))</f>
        <v>0</v>
      </c>
      <c r="J24" s="40" t="n">
        <f aca="false">COUNTIF(J$20:J$23,"Р")-INDEX(Норми!$C$12:$I$47,MATCH("Кухар гриль|Р",Норми!$L$12:$L$47,0),MATCH(J$5,Норми!$C$11:$I$11,0))</f>
        <v>0</v>
      </c>
      <c r="K24" s="40" t="n">
        <f aca="false">COUNTIF(K$20:K$23,"Р")-INDEX(Норми!$C$12:$I$47,MATCH("Кухар гриль|Р",Норми!$L$12:$L$47,0),MATCH(K$5,Норми!$C$11:$I$11,0))</f>
        <v>0</v>
      </c>
      <c r="L24" s="40" t="n">
        <f aca="false">COUNTIF(L$20:L$23,"Р")-INDEX(Норми!$C$12:$I$47,MATCH("Кухар гриль|Р",Норми!$L$12:$L$47,0),MATCH(L$5,Норми!$C$11:$I$11,0))</f>
        <v>0</v>
      </c>
      <c r="M24" s="40" t="n">
        <f aca="false">COUNTIF(M$20:M$23,"Р")-INDEX(Норми!$C$12:$I$47,MATCH("Кухар гриль|Р",Норми!$L$12:$L$47,0),MATCH(M$5,Норми!$C$11:$I$11,0))</f>
        <v>0</v>
      </c>
      <c r="N24" s="40" t="n">
        <f aca="false">COUNTIF(N$20:N$23,"Р")-INDEX(Норми!$C$12:$I$47,MATCH("Кухар гриль|Р",Норми!$L$12:$L$47,0),MATCH(N$5,Норми!$C$11:$I$11,0))</f>
        <v>0</v>
      </c>
      <c r="O24" s="40" t="n">
        <f aca="false">COUNTIF(O$20:O$23,"Р")-INDEX(Норми!$C$12:$I$47,MATCH("Кухар гриль|Р",Норми!$L$12:$L$47,0),MATCH(O$5,Норми!$C$11:$I$11,0))</f>
        <v>0</v>
      </c>
      <c r="P24" s="40" t="n">
        <f aca="false">COUNTIF(P$20:P$23,"Р")-INDEX(Норми!$C$12:$I$47,MATCH("Кухар гриль|Р",Норми!$L$12:$L$47,0),MATCH(P$5,Норми!$C$11:$I$11,0))</f>
        <v>0</v>
      </c>
      <c r="Q24" s="40" t="n">
        <f aca="false">COUNTIF(Q$20:Q$23,"Р")-INDEX(Норми!$C$12:$I$47,MATCH("Кухар гриль|Р",Норми!$L$12:$L$47,0),MATCH(Q$5,Норми!$C$11:$I$11,0))</f>
        <v>0</v>
      </c>
      <c r="R24" s="40" t="n">
        <f aca="false">COUNTIF(R$20:R$23,"Р")-INDEX(Норми!$C$12:$I$47,MATCH("Кухар гриль|Р",Норми!$L$12:$L$47,0),MATCH(R$5,Норми!$C$11:$I$11,0))</f>
        <v>0</v>
      </c>
      <c r="S24" s="40" t="n">
        <f aca="false">COUNTIF(S$20:S$23,"Р")-INDEX(Норми!$C$12:$I$47,MATCH("Кухар гриль|Р",Норми!$L$12:$L$47,0),MATCH(S$5,Норми!$C$11:$I$11,0))</f>
        <v>0</v>
      </c>
      <c r="T24" s="40" t="n">
        <f aca="false">COUNTIF(T$20:T$23,"Р")-INDEX(Норми!$C$12:$I$47,MATCH("Кухар гриль|Р",Норми!$L$12:$L$47,0),MATCH(T$5,Норми!$C$11:$I$11,0))</f>
        <v>0</v>
      </c>
      <c r="U24" s="40" t="n">
        <f aca="false">COUNTIF(U$20:U$23,"Р")-INDEX(Норми!$C$12:$I$47,MATCH("Кухар гриль|Р",Норми!$L$12:$L$47,0),MATCH(U$5,Норми!$C$11:$I$11,0))</f>
        <v>0</v>
      </c>
      <c r="V24" s="40" t="n">
        <f aca="false">COUNTIF(V$20:V$23,"Р")-INDEX(Норми!$C$12:$I$47,MATCH("Кухар гриль|Р",Норми!$L$12:$L$47,0),MATCH(V$5,Норми!$C$11:$I$11,0))</f>
        <v>0</v>
      </c>
      <c r="W24" s="40" t="n">
        <f aca="false">COUNTIF(W$20:W$23,"Р")-INDEX(Норми!$C$12:$I$47,MATCH("Кухар гриль|Р",Норми!$L$12:$L$47,0),MATCH(W$5,Норми!$C$11:$I$11,0))</f>
        <v>0</v>
      </c>
      <c r="X24" s="40" t="n">
        <f aca="false">COUNTIF(X$20:X$23,"Р")-INDEX(Норми!$C$12:$I$47,MATCH("Кухар гриль|Р",Норми!$L$12:$L$47,0),MATCH(X$5,Норми!$C$11:$I$11,0))</f>
        <v>0</v>
      </c>
      <c r="Y24" s="40" t="n">
        <f aca="false">COUNTIF(Y$20:Y$23,"Р")-INDEX(Норми!$C$12:$I$47,MATCH("Кухар гриль|Р",Норми!$L$12:$L$47,0),MATCH(Y$5,Норми!$C$11:$I$11,0))</f>
        <v>0</v>
      </c>
      <c r="Z24" s="40" t="n">
        <f aca="false">COUNTIF(Z$20:Z$23,"Р")-INDEX(Норми!$C$12:$I$47,MATCH("Кухар гриль|Р",Норми!$L$12:$L$47,0),MATCH(Z$5,Норми!$C$11:$I$11,0))</f>
        <v>0</v>
      </c>
      <c r="AA24" s="40" t="n">
        <f aca="false">COUNTIF(AA$20:AA$23,"Р")-INDEX(Норми!$C$12:$I$47,MATCH("Кухар гриль|Р",Норми!$L$12:$L$47,0),MATCH(AA$5,Норми!$C$11:$I$11,0))</f>
        <v>0</v>
      </c>
      <c r="AB24" s="40" t="n">
        <f aca="false">COUNTIF(AB$20:AB$23,"Р")-INDEX(Норми!$C$12:$I$47,MATCH("Кухар гриль|Р",Норми!$L$12:$L$47,0),MATCH(AB$5,Норми!$C$11:$I$11,0))</f>
        <v>0</v>
      </c>
      <c r="AC24" s="40" t="n">
        <f aca="false">COUNTIF(AC$20:AC$23,"Р")-INDEX(Норми!$C$12:$I$47,MATCH("Кухар гриль|Р",Норми!$L$12:$L$47,0),MATCH(AC$5,Норми!$C$11:$I$11,0))</f>
        <v>0</v>
      </c>
      <c r="AD24" s="40" t="n">
        <f aca="false">COUNTIF(AD$20:AD$23,"Р")-INDEX(Норми!$C$12:$I$47,MATCH("Кухар гриль|Р",Норми!$L$12:$L$47,0),MATCH(AD$5,Норми!$C$11:$I$11,0))</f>
        <v>0</v>
      </c>
      <c r="AE24" s="40" t="n">
        <f aca="false">COUNTIF(AE$20:AE$23,"Р")-INDEX(Норми!$C$12:$I$47,MATCH("Кухар гриль|Р",Норми!$L$12:$L$47,0),MATCH(AE$5,Норми!$C$11:$I$11,0))</f>
        <v>0</v>
      </c>
      <c r="AF24" s="40" t="n">
        <f aca="false">COUNTIF(AF$20:AF$23,"Р")-INDEX(Норми!$C$12:$I$47,MATCH("Кухар гриль|Р",Норми!$L$12:$L$47,0),MATCH(AF$5,Норми!$C$11:$I$11,0))</f>
        <v>0</v>
      </c>
      <c r="AG24" s="40" t="n">
        <f aca="false">COUNTIF(AG$20:AG$23,"Р")-INDEX(Норми!$C$12:$I$47,MATCH("Кухар гриль|Р",Норми!$L$12:$L$47,0),MATCH(AG$5,Норми!$C$11:$I$11,0))</f>
        <v>0</v>
      </c>
      <c r="AH24" s="40" t="n">
        <f aca="false">COUNTIF(AH$20:AH$23,"Р")-INDEX(Норми!$C$12:$I$47,MATCH("Кухар гриль|Р",Норми!$L$12:$L$47,0),MATCH(AH$5,Норми!$C$11:$I$11,0))</f>
        <v>0</v>
      </c>
    </row>
    <row r="25" customFormat="false" ht="15" hidden="false" customHeight="false" outlineLevel="0" collapsed="false">
      <c r="C25" s="35" t="s">
        <v>147</v>
      </c>
      <c r="D25" s="40" t="n">
        <f aca="false">COUNTIF(D$20:D$23,"С")-INDEX(Норми!$C$12:$I$47,MATCH("Кухар гриль|С",Норми!$L$12:$L$47,0),MATCH(D$5,Норми!$C$11:$I$11,0))</f>
        <v>0</v>
      </c>
      <c r="E25" s="40" t="n">
        <f aca="false">COUNTIF(E$20:E$23,"С")-INDEX(Норми!$C$12:$I$47,MATCH("Кухар гриль|С",Норми!$L$12:$L$47,0),MATCH(E$5,Норми!$C$11:$I$11,0))</f>
        <v>0</v>
      </c>
      <c r="F25" s="40" t="n">
        <f aca="false">COUNTIF(F$20:F$23,"С")-INDEX(Норми!$C$12:$I$47,MATCH("Кухар гриль|С",Норми!$L$12:$L$47,0),MATCH(F$5,Норми!$C$11:$I$11,0))</f>
        <v>0</v>
      </c>
      <c r="G25" s="40" t="n">
        <f aca="false">COUNTIF(G$20:G$23,"С")-INDEX(Норми!$C$12:$I$47,MATCH("Кухар гриль|С",Норми!$L$12:$L$47,0),MATCH(G$5,Норми!$C$11:$I$11,0))</f>
        <v>0</v>
      </c>
      <c r="H25" s="40" t="n">
        <f aca="false">COUNTIF(H$20:H$23,"С")-INDEX(Норми!$C$12:$I$47,MATCH("Кухар гриль|С",Норми!$L$12:$L$47,0),MATCH(H$5,Норми!$C$11:$I$11,0))</f>
        <v>0</v>
      </c>
      <c r="I25" s="40" t="n">
        <f aca="false">COUNTIF(I$20:I$23,"С")-INDEX(Норми!$C$12:$I$47,MATCH("Кухар гриль|С",Норми!$L$12:$L$47,0),MATCH(I$5,Норми!$C$11:$I$11,0))</f>
        <v>0</v>
      </c>
      <c r="J25" s="40" t="n">
        <f aca="false">COUNTIF(J$20:J$23,"С")-INDEX(Норми!$C$12:$I$47,MATCH("Кухар гриль|С",Норми!$L$12:$L$47,0),MATCH(J$5,Норми!$C$11:$I$11,0))</f>
        <v>0</v>
      </c>
      <c r="K25" s="40" t="n">
        <f aca="false">COUNTIF(K$20:K$23,"С")-INDEX(Норми!$C$12:$I$47,MATCH("Кухар гриль|С",Норми!$L$12:$L$47,0),MATCH(K$5,Норми!$C$11:$I$11,0))</f>
        <v>0</v>
      </c>
      <c r="L25" s="40" t="n">
        <f aca="false">COUNTIF(L$20:L$23,"С")-INDEX(Норми!$C$12:$I$47,MATCH("Кухар гриль|С",Норми!$L$12:$L$47,0),MATCH(L$5,Норми!$C$11:$I$11,0))</f>
        <v>0</v>
      </c>
      <c r="M25" s="40" t="n">
        <f aca="false">COUNTIF(M$20:M$23,"С")-INDEX(Норми!$C$12:$I$47,MATCH("Кухар гриль|С",Норми!$L$12:$L$47,0),MATCH(M$5,Норми!$C$11:$I$11,0))</f>
        <v>0</v>
      </c>
      <c r="N25" s="40" t="n">
        <f aca="false">COUNTIF(N$20:N$23,"С")-INDEX(Норми!$C$12:$I$47,MATCH("Кухар гриль|С",Норми!$L$12:$L$47,0),MATCH(N$5,Норми!$C$11:$I$11,0))</f>
        <v>0</v>
      </c>
      <c r="O25" s="40" t="n">
        <f aca="false">COUNTIF(O$20:O$23,"С")-INDEX(Норми!$C$12:$I$47,MATCH("Кухар гриль|С",Норми!$L$12:$L$47,0),MATCH(O$5,Норми!$C$11:$I$11,0))</f>
        <v>0</v>
      </c>
      <c r="P25" s="40" t="n">
        <f aca="false">COUNTIF(P$20:P$23,"С")-INDEX(Норми!$C$12:$I$47,MATCH("Кухар гриль|С",Норми!$L$12:$L$47,0),MATCH(P$5,Норми!$C$11:$I$11,0))</f>
        <v>0</v>
      </c>
      <c r="Q25" s="40" t="n">
        <f aca="false">COUNTIF(Q$20:Q$23,"С")-INDEX(Норми!$C$12:$I$47,MATCH("Кухар гриль|С",Норми!$L$12:$L$47,0),MATCH(Q$5,Норми!$C$11:$I$11,0))</f>
        <v>0</v>
      </c>
      <c r="R25" s="40" t="n">
        <f aca="false">COUNTIF(R$20:R$23,"С")-INDEX(Норми!$C$12:$I$47,MATCH("Кухар гриль|С",Норми!$L$12:$L$47,0),MATCH(R$5,Норми!$C$11:$I$11,0))</f>
        <v>0</v>
      </c>
      <c r="S25" s="40" t="n">
        <f aca="false">COUNTIF(S$20:S$23,"С")-INDEX(Норми!$C$12:$I$47,MATCH("Кухар гриль|С",Норми!$L$12:$L$47,0),MATCH(S$5,Норми!$C$11:$I$11,0))</f>
        <v>0</v>
      </c>
      <c r="T25" s="40" t="n">
        <f aca="false">COUNTIF(T$20:T$23,"С")-INDEX(Норми!$C$12:$I$47,MATCH("Кухар гриль|С",Норми!$L$12:$L$47,0),MATCH(T$5,Норми!$C$11:$I$11,0))</f>
        <v>0</v>
      </c>
      <c r="U25" s="40" t="n">
        <f aca="false">COUNTIF(U$20:U$23,"С")-INDEX(Норми!$C$12:$I$47,MATCH("Кухар гриль|С",Норми!$L$12:$L$47,0),MATCH(U$5,Норми!$C$11:$I$11,0))</f>
        <v>0</v>
      </c>
      <c r="V25" s="40" t="n">
        <f aca="false">COUNTIF(V$20:V$23,"С")-INDEX(Норми!$C$12:$I$47,MATCH("Кухар гриль|С",Норми!$L$12:$L$47,0),MATCH(V$5,Норми!$C$11:$I$11,0))</f>
        <v>0</v>
      </c>
      <c r="W25" s="40" t="n">
        <f aca="false">COUNTIF(W$20:W$23,"С")-INDEX(Норми!$C$12:$I$47,MATCH("Кухар гриль|С",Норми!$L$12:$L$47,0),MATCH(W$5,Норми!$C$11:$I$11,0))</f>
        <v>0</v>
      </c>
      <c r="X25" s="40" t="n">
        <f aca="false">COUNTIF(X$20:X$23,"С")-INDEX(Норми!$C$12:$I$47,MATCH("Кухар гриль|С",Норми!$L$12:$L$47,0),MATCH(X$5,Норми!$C$11:$I$11,0))</f>
        <v>0</v>
      </c>
      <c r="Y25" s="40" t="n">
        <f aca="false">COUNTIF(Y$20:Y$23,"С")-INDEX(Норми!$C$12:$I$47,MATCH("Кухар гриль|С",Норми!$L$12:$L$47,0),MATCH(Y$5,Норми!$C$11:$I$11,0))</f>
        <v>0</v>
      </c>
      <c r="Z25" s="40" t="n">
        <f aca="false">COUNTIF(Z$20:Z$23,"С")-INDEX(Норми!$C$12:$I$47,MATCH("Кухар гриль|С",Норми!$L$12:$L$47,0),MATCH(Z$5,Норми!$C$11:$I$11,0))</f>
        <v>0</v>
      </c>
      <c r="AA25" s="40" t="n">
        <f aca="false">COUNTIF(AA$20:AA$23,"С")-INDEX(Норми!$C$12:$I$47,MATCH("Кухар гриль|С",Норми!$L$12:$L$47,0),MATCH(AA$5,Норми!$C$11:$I$11,0))</f>
        <v>0</v>
      </c>
      <c r="AB25" s="40" t="n">
        <f aca="false">COUNTIF(AB$20:AB$23,"С")-INDEX(Норми!$C$12:$I$47,MATCH("Кухар гриль|С",Норми!$L$12:$L$47,0),MATCH(AB$5,Норми!$C$11:$I$11,0))</f>
        <v>0</v>
      </c>
      <c r="AC25" s="40" t="n">
        <f aca="false">COUNTIF(AC$20:AC$23,"С")-INDEX(Норми!$C$12:$I$47,MATCH("Кухар гриль|С",Норми!$L$12:$L$47,0),MATCH(AC$5,Норми!$C$11:$I$11,0))</f>
        <v>0</v>
      </c>
      <c r="AD25" s="40" t="n">
        <f aca="false">COUNTIF(AD$20:AD$23,"С")-INDEX(Норми!$C$12:$I$47,MATCH("Кухар гриль|С",Норми!$L$12:$L$47,0),MATCH(AD$5,Норми!$C$11:$I$11,0))</f>
        <v>0</v>
      </c>
      <c r="AE25" s="40" t="n">
        <f aca="false">COUNTIF(AE$20:AE$23,"С")-INDEX(Норми!$C$12:$I$47,MATCH("Кухар гриль|С",Норми!$L$12:$L$47,0),MATCH(AE$5,Норми!$C$11:$I$11,0))</f>
        <v>0</v>
      </c>
      <c r="AF25" s="40" t="n">
        <f aca="false">COUNTIF(AF$20:AF$23,"С")-INDEX(Норми!$C$12:$I$47,MATCH("Кухар гриль|С",Норми!$L$12:$L$47,0),MATCH(AF$5,Норми!$C$11:$I$11,0))</f>
        <v>0</v>
      </c>
      <c r="AG25" s="40" t="n">
        <f aca="false">COUNTIF(AG$20:AG$23,"С")-INDEX(Норми!$C$12:$I$47,MATCH("Кухар гриль|С",Норми!$L$12:$L$47,0),MATCH(AG$5,Норми!$C$11:$I$11,0))</f>
        <v>0</v>
      </c>
      <c r="AH25" s="40" t="n">
        <f aca="false">COUNTIF(AH$20:AH$23,"С")-INDEX(Норми!$C$12:$I$47,MATCH("Кухар гриль|С",Норми!$L$12:$L$47,0),MATCH(AH$5,Норми!$C$11:$I$11,0))</f>
        <v>0</v>
      </c>
    </row>
    <row r="26" customFormat="false" ht="15" hidden="false" customHeight="false" outlineLevel="0" collapsed="false">
      <c r="C26" s="35" t="s">
        <v>141</v>
      </c>
      <c r="D26" s="40" t="n">
        <f aca="false">COUNTIF(D$20:D$23,"В")-INDEX(Норми!$C$12:$I$47,MATCH("Кухар гриль|В",Норми!$L$12:$L$47,0),MATCH(D$5,Норми!$C$11:$I$11,0))</f>
        <v>0</v>
      </c>
      <c r="E26" s="40" t="n">
        <f aca="false">COUNTIF(E$20:E$23,"В")-INDEX(Норми!$C$12:$I$47,MATCH("Кухар гриль|В",Норми!$L$12:$L$47,0),MATCH(E$5,Норми!$C$11:$I$11,0))</f>
        <v>0</v>
      </c>
      <c r="F26" s="40" t="n">
        <f aca="false">COUNTIF(F$20:F$23,"В")-INDEX(Норми!$C$12:$I$47,MATCH("Кухар гриль|В",Норми!$L$12:$L$47,0),MATCH(F$5,Норми!$C$11:$I$11,0))</f>
        <v>0</v>
      </c>
      <c r="G26" s="40" t="n">
        <f aca="false">COUNTIF(G$20:G$23,"В")-INDEX(Норми!$C$12:$I$47,MATCH("Кухар гриль|В",Норми!$L$12:$L$47,0),MATCH(G$5,Норми!$C$11:$I$11,0))</f>
        <v>0</v>
      </c>
      <c r="H26" s="40" t="n">
        <f aca="false">COUNTIF(H$20:H$23,"В")-INDEX(Норми!$C$12:$I$47,MATCH("Кухар гриль|В",Норми!$L$12:$L$47,0),MATCH(H$5,Норми!$C$11:$I$11,0))</f>
        <v>0</v>
      </c>
      <c r="I26" s="40" t="n">
        <f aca="false">COUNTIF(I$20:I$23,"В")-INDEX(Норми!$C$12:$I$47,MATCH("Кухар гриль|В",Норми!$L$12:$L$47,0),MATCH(I$5,Норми!$C$11:$I$11,0))</f>
        <v>0</v>
      </c>
      <c r="J26" s="40" t="n">
        <f aca="false">COUNTIF(J$20:J$23,"В")-INDEX(Норми!$C$12:$I$47,MATCH("Кухар гриль|В",Норми!$L$12:$L$47,0),MATCH(J$5,Норми!$C$11:$I$11,0))</f>
        <v>0</v>
      </c>
      <c r="K26" s="40" t="n">
        <f aca="false">COUNTIF(K$20:K$23,"В")-INDEX(Норми!$C$12:$I$47,MATCH("Кухар гриль|В",Норми!$L$12:$L$47,0),MATCH(K$5,Норми!$C$11:$I$11,0))</f>
        <v>0</v>
      </c>
      <c r="L26" s="40" t="n">
        <f aca="false">COUNTIF(L$20:L$23,"В")-INDEX(Норми!$C$12:$I$47,MATCH("Кухар гриль|В",Норми!$L$12:$L$47,0),MATCH(L$5,Норми!$C$11:$I$11,0))</f>
        <v>0</v>
      </c>
      <c r="M26" s="40" t="n">
        <f aca="false">COUNTIF(M$20:M$23,"В")-INDEX(Норми!$C$12:$I$47,MATCH("Кухар гриль|В",Норми!$L$12:$L$47,0),MATCH(M$5,Норми!$C$11:$I$11,0))</f>
        <v>0</v>
      </c>
      <c r="N26" s="40" t="n">
        <f aca="false">COUNTIF(N$20:N$23,"В")-INDEX(Норми!$C$12:$I$47,MATCH("Кухар гриль|В",Норми!$L$12:$L$47,0),MATCH(N$5,Норми!$C$11:$I$11,0))</f>
        <v>0</v>
      </c>
      <c r="O26" s="40" t="n">
        <f aca="false">COUNTIF(O$20:O$23,"В")-INDEX(Норми!$C$12:$I$47,MATCH("Кухар гриль|В",Норми!$L$12:$L$47,0),MATCH(O$5,Норми!$C$11:$I$11,0))</f>
        <v>0</v>
      </c>
      <c r="P26" s="40" t="n">
        <f aca="false">COUNTIF(P$20:P$23,"В")-INDEX(Норми!$C$12:$I$47,MATCH("Кухар гриль|В",Норми!$L$12:$L$47,0),MATCH(P$5,Норми!$C$11:$I$11,0))</f>
        <v>0</v>
      </c>
      <c r="Q26" s="40" t="n">
        <f aca="false">COUNTIF(Q$20:Q$23,"В")-INDEX(Норми!$C$12:$I$47,MATCH("Кухар гриль|В",Норми!$L$12:$L$47,0),MATCH(Q$5,Норми!$C$11:$I$11,0))</f>
        <v>0</v>
      </c>
      <c r="R26" s="40" t="n">
        <f aca="false">COUNTIF(R$20:R$23,"В")-INDEX(Норми!$C$12:$I$47,MATCH("Кухар гриль|В",Норми!$L$12:$L$47,0),MATCH(R$5,Норми!$C$11:$I$11,0))</f>
        <v>0</v>
      </c>
      <c r="S26" s="40" t="n">
        <f aca="false">COUNTIF(S$20:S$23,"В")-INDEX(Норми!$C$12:$I$47,MATCH("Кухар гриль|В",Норми!$L$12:$L$47,0),MATCH(S$5,Норми!$C$11:$I$11,0))</f>
        <v>0</v>
      </c>
      <c r="T26" s="40" t="n">
        <f aca="false">COUNTIF(T$20:T$23,"В")-INDEX(Норми!$C$12:$I$47,MATCH("Кухар гриль|В",Норми!$L$12:$L$47,0),MATCH(T$5,Норми!$C$11:$I$11,0))</f>
        <v>0</v>
      </c>
      <c r="U26" s="40" t="n">
        <f aca="false">COUNTIF(U$20:U$23,"В")-INDEX(Норми!$C$12:$I$47,MATCH("Кухар гриль|В",Норми!$L$12:$L$47,0),MATCH(U$5,Норми!$C$11:$I$11,0))</f>
        <v>0</v>
      </c>
      <c r="V26" s="40" t="n">
        <f aca="false">COUNTIF(V$20:V$23,"В")-INDEX(Норми!$C$12:$I$47,MATCH("Кухар гриль|В",Норми!$L$12:$L$47,0),MATCH(V$5,Норми!$C$11:$I$11,0))</f>
        <v>0</v>
      </c>
      <c r="W26" s="40" t="n">
        <f aca="false">COUNTIF(W$20:W$23,"В")-INDEX(Норми!$C$12:$I$47,MATCH("Кухар гриль|В",Норми!$L$12:$L$47,0),MATCH(W$5,Норми!$C$11:$I$11,0))</f>
        <v>0</v>
      </c>
      <c r="X26" s="40" t="n">
        <f aca="false">COUNTIF(X$20:X$23,"В")-INDEX(Норми!$C$12:$I$47,MATCH("Кухар гриль|В",Норми!$L$12:$L$47,0),MATCH(X$5,Норми!$C$11:$I$11,0))</f>
        <v>0</v>
      </c>
      <c r="Y26" s="40" t="n">
        <f aca="false">COUNTIF(Y$20:Y$23,"В")-INDEX(Норми!$C$12:$I$47,MATCH("Кухар гриль|В",Норми!$L$12:$L$47,0),MATCH(Y$5,Норми!$C$11:$I$11,0))</f>
        <v>0</v>
      </c>
      <c r="Z26" s="40" t="n">
        <f aca="false">COUNTIF(Z$20:Z$23,"В")-INDEX(Норми!$C$12:$I$47,MATCH("Кухар гриль|В",Норми!$L$12:$L$47,0),MATCH(Z$5,Норми!$C$11:$I$11,0))</f>
        <v>0</v>
      </c>
      <c r="AA26" s="40" t="n">
        <f aca="false">COUNTIF(AA$20:AA$23,"В")-INDEX(Норми!$C$12:$I$47,MATCH("Кухар гриль|В",Норми!$L$12:$L$47,0),MATCH(AA$5,Норми!$C$11:$I$11,0))</f>
        <v>0</v>
      </c>
      <c r="AB26" s="40" t="n">
        <f aca="false">COUNTIF(AB$20:AB$23,"В")-INDEX(Норми!$C$12:$I$47,MATCH("Кухар гриль|В",Норми!$L$12:$L$47,0),MATCH(AB$5,Норми!$C$11:$I$11,0))</f>
        <v>0</v>
      </c>
      <c r="AC26" s="40" t="n">
        <f aca="false">COUNTIF(AC$20:AC$23,"В")-INDEX(Норми!$C$12:$I$47,MATCH("Кухар гриль|В",Норми!$L$12:$L$47,0),MATCH(AC$5,Норми!$C$11:$I$11,0))</f>
        <v>0</v>
      </c>
      <c r="AD26" s="40" t="n">
        <f aca="false">COUNTIF(AD$20:AD$23,"В")-INDEX(Норми!$C$12:$I$47,MATCH("Кухар гриль|В",Норми!$L$12:$L$47,0),MATCH(AD$5,Норми!$C$11:$I$11,0))</f>
        <v>0</v>
      </c>
      <c r="AE26" s="40" t="n">
        <f aca="false">COUNTIF(AE$20:AE$23,"В")-INDEX(Норми!$C$12:$I$47,MATCH("Кухар гриль|В",Норми!$L$12:$L$47,0),MATCH(AE$5,Норми!$C$11:$I$11,0))</f>
        <v>0</v>
      </c>
      <c r="AF26" s="40" t="n">
        <f aca="false">COUNTIF(AF$20:AF$23,"В")-INDEX(Норми!$C$12:$I$47,MATCH("Кухар гриль|В",Норми!$L$12:$L$47,0),MATCH(AF$5,Норми!$C$11:$I$11,0))</f>
        <v>0</v>
      </c>
      <c r="AG26" s="40" t="n">
        <f aca="false">COUNTIF(AG$20:AG$23,"В")-INDEX(Норми!$C$12:$I$47,MATCH("Кухар гриль|В",Норми!$L$12:$L$47,0),MATCH(AG$5,Норми!$C$11:$I$11,0))</f>
        <v>0</v>
      </c>
      <c r="AH26" s="40" t="n">
        <f aca="false">COUNTIF(AH$20:AH$23,"В")-INDEX(Норми!$C$12:$I$47,MATCH("Кухар гриль|В",Норми!$L$12:$L$47,0),MATCH(AH$5,Норми!$C$11:$I$11,0))</f>
        <v>0</v>
      </c>
    </row>
    <row r="28" customFormat="false" ht="15" hidden="false" customHeight="false" outlineLevel="0" collapsed="false">
      <c r="A28" s="21" t="s">
        <v>189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</row>
    <row r="29" customFormat="false" ht="15" hidden="false" customHeight="false" outlineLevel="0" collapsed="false">
      <c r="A29" s="8" t="n">
        <v>8</v>
      </c>
      <c r="B29" s="7" t="s">
        <v>101</v>
      </c>
      <c r="C29" s="37" t="s">
        <v>190</v>
      </c>
      <c r="D29" s="38"/>
      <c r="E29" s="38" t="s">
        <v>41</v>
      </c>
      <c r="F29" s="38" t="s">
        <v>41</v>
      </c>
      <c r="G29" s="38" t="s">
        <v>41</v>
      </c>
      <c r="H29" s="38" t="s">
        <v>41</v>
      </c>
      <c r="I29" s="38" t="s">
        <v>41</v>
      </c>
      <c r="J29" s="38"/>
      <c r="K29" s="38"/>
      <c r="L29" s="38" t="s">
        <v>41</v>
      </c>
      <c r="M29" s="38" t="s">
        <v>45</v>
      </c>
      <c r="N29" s="38" t="s">
        <v>45</v>
      </c>
      <c r="O29" s="38" t="s">
        <v>49</v>
      </c>
      <c r="P29" s="38" t="s">
        <v>49</v>
      </c>
      <c r="Q29" s="38"/>
      <c r="R29" s="38"/>
      <c r="S29" s="38" t="s">
        <v>49</v>
      </c>
      <c r="T29" s="38" t="s">
        <v>45</v>
      </c>
      <c r="U29" s="38" t="s">
        <v>45</v>
      </c>
      <c r="V29" s="38"/>
      <c r="W29" s="38"/>
      <c r="X29" s="38"/>
      <c r="Y29" s="38" t="s">
        <v>49</v>
      </c>
      <c r="Z29" s="38" t="s">
        <v>49</v>
      </c>
      <c r="AA29" s="38" t="s">
        <v>49</v>
      </c>
      <c r="AB29" s="38"/>
      <c r="AC29" s="38" t="s">
        <v>41</v>
      </c>
      <c r="AD29" s="38" t="s">
        <v>41</v>
      </c>
      <c r="AE29" s="38"/>
      <c r="AF29" s="38"/>
      <c r="AG29" s="38" t="s">
        <v>49</v>
      </c>
      <c r="AH29" s="38" t="s">
        <v>49</v>
      </c>
      <c r="AI29" s="8" t="n">
        <f aca="false">COUNTA(D29:AH29)</f>
        <v>20</v>
      </c>
      <c r="AJ29" s="39" t="n">
        <f aca="false">SUMPRODUCT((D29:AH29="Р")*$D$7:$AH$7)+SUMPRODUCT((D29:AH29="С")*$D$8:$AH$8)+SUMPRODUCT((D29:AH29="В")*$D$9:$AH$9)+SUMPRODUCT((D29:AH29="П")*$D$10:$AH$10)</f>
        <v>152</v>
      </c>
      <c r="AK29" s="8" t="n">
        <f aca="false">COLUMNS(D29:AH29)-AI29</f>
        <v>11</v>
      </c>
      <c r="AL29" s="8" t="n">
        <f aca="false">SUMPRODUCT((D29:AH29&lt;&gt;"")*(($D$5:$AH$5="Пт")+($D$5:$AH$5="Сб")))</f>
        <v>10</v>
      </c>
      <c r="AM29" s="26" t="n">
        <f aca="false">AJ29-Зміни!$C$19</f>
        <v>-24</v>
      </c>
    </row>
    <row r="30" customFormat="false" ht="15" hidden="false" customHeight="false" outlineLevel="0" collapsed="false">
      <c r="A30" s="8" t="n">
        <v>9</v>
      </c>
      <c r="B30" s="7" t="s">
        <v>101</v>
      </c>
      <c r="C30" s="37" t="s">
        <v>191</v>
      </c>
      <c r="D30" s="38" t="s">
        <v>49</v>
      </c>
      <c r="E30" s="38" t="s">
        <v>49</v>
      </c>
      <c r="F30" s="38" t="s">
        <v>49</v>
      </c>
      <c r="G30" s="38" t="s">
        <v>49</v>
      </c>
      <c r="H30" s="38"/>
      <c r="I30" s="38"/>
      <c r="J30" s="38" t="s">
        <v>41</v>
      </c>
      <c r="K30" s="38"/>
      <c r="L30" s="38"/>
      <c r="M30" s="38" t="s">
        <v>41</v>
      </c>
      <c r="N30" s="38" t="s">
        <v>41</v>
      </c>
      <c r="O30" s="38" t="s">
        <v>41</v>
      </c>
      <c r="P30" s="38" t="s">
        <v>41</v>
      </c>
      <c r="Q30" s="38" t="s">
        <v>41</v>
      </c>
      <c r="R30" s="38"/>
      <c r="S30" s="38"/>
      <c r="T30" s="38" t="s">
        <v>41</v>
      </c>
      <c r="U30" s="38" t="s">
        <v>41</v>
      </c>
      <c r="V30" s="38" t="s">
        <v>41</v>
      </c>
      <c r="W30" s="38" t="s">
        <v>41</v>
      </c>
      <c r="X30" s="38"/>
      <c r="Y30" s="38"/>
      <c r="Z30" s="38" t="s">
        <v>49</v>
      </c>
      <c r="AA30" s="38" t="s">
        <v>49</v>
      </c>
      <c r="AB30" s="38" t="s">
        <v>49</v>
      </c>
      <c r="AC30" s="38" t="s">
        <v>49</v>
      </c>
      <c r="AD30" s="38"/>
      <c r="AE30" s="38"/>
      <c r="AF30" s="38" t="s">
        <v>49</v>
      </c>
      <c r="AG30" s="38" t="s">
        <v>49</v>
      </c>
      <c r="AH30" s="38" t="s">
        <v>49</v>
      </c>
      <c r="AI30" s="8" t="n">
        <f aca="false">COUNTA(D30:AH30)</f>
        <v>21</v>
      </c>
      <c r="AJ30" s="39" t="n">
        <f aca="false">SUMPRODUCT((D30:AH30="Р")*$D$7:$AH$7)+SUMPRODUCT((D30:AH30="С")*$D$8:$AH$8)+SUMPRODUCT((D30:AH30="В")*$D$9:$AH$9)+SUMPRODUCT((D30:AH30="П")*$D$10:$AH$10)</f>
        <v>156.5</v>
      </c>
      <c r="AK30" s="8" t="n">
        <f aca="false">COLUMNS(D30:AH30)-AI30</f>
        <v>10</v>
      </c>
      <c r="AL30" s="8" t="n">
        <f aca="false">SUMPRODUCT((D30:AH30&lt;&gt;"")*(($D$5:$AH$5="Пт")+($D$5:$AH$5="Сб")))</f>
        <v>8</v>
      </c>
      <c r="AM30" s="26" t="n">
        <f aca="false">AJ30-Зміни!$C$19</f>
        <v>-19.5</v>
      </c>
    </row>
    <row r="31" customFormat="false" ht="15" hidden="false" customHeight="false" outlineLevel="0" collapsed="false">
      <c r="A31" s="8" t="n">
        <v>10</v>
      </c>
      <c r="B31" s="7" t="s">
        <v>101</v>
      </c>
      <c r="C31" s="37" t="s">
        <v>192</v>
      </c>
      <c r="D31" s="38"/>
      <c r="E31" s="38"/>
      <c r="F31" s="38" t="s">
        <v>45</v>
      </c>
      <c r="G31" s="38" t="s">
        <v>45</v>
      </c>
      <c r="H31" s="38" t="s">
        <v>49</v>
      </c>
      <c r="I31" s="38"/>
      <c r="J31" s="38"/>
      <c r="K31" s="38" t="s">
        <v>41</v>
      </c>
      <c r="L31" s="38" t="s">
        <v>49</v>
      </c>
      <c r="M31" s="38" t="s">
        <v>49</v>
      </c>
      <c r="N31" s="38" t="s">
        <v>49</v>
      </c>
      <c r="O31" s="38"/>
      <c r="P31" s="38"/>
      <c r="Q31" s="38"/>
      <c r="R31" s="38" t="s">
        <v>41</v>
      </c>
      <c r="S31" s="38" t="s">
        <v>41</v>
      </c>
      <c r="T31" s="38" t="s">
        <v>49</v>
      </c>
      <c r="U31" s="38" t="s">
        <v>49</v>
      </c>
      <c r="V31" s="38" t="s">
        <v>49</v>
      </c>
      <c r="W31" s="38"/>
      <c r="X31" s="38" t="s">
        <v>41</v>
      </c>
      <c r="Y31" s="38" t="s">
        <v>41</v>
      </c>
      <c r="Z31" s="38" t="s">
        <v>41</v>
      </c>
      <c r="AA31" s="38" t="s">
        <v>45</v>
      </c>
      <c r="AB31" s="38" t="s">
        <v>45</v>
      </c>
      <c r="AC31" s="38"/>
      <c r="AD31" s="38" t="s">
        <v>49</v>
      </c>
      <c r="AE31" s="38" t="s">
        <v>49</v>
      </c>
      <c r="AF31" s="38"/>
      <c r="AG31" s="38"/>
      <c r="AH31" s="38" t="s">
        <v>45</v>
      </c>
      <c r="AI31" s="8" t="n">
        <f aca="false">COUNTA(D31:AH31)</f>
        <v>20</v>
      </c>
      <c r="AJ31" s="39" t="n">
        <f aca="false">SUMPRODUCT((D31:AH31="Р")*$D$7:$AH$7)+SUMPRODUCT((D31:AH31="С")*$D$8:$AH$8)+SUMPRODUCT((D31:AH31="В")*$D$9:$AH$9)+SUMPRODUCT((D31:AH31="П")*$D$10:$AH$10)</f>
        <v>151.5</v>
      </c>
      <c r="AK31" s="8" t="n">
        <f aca="false">COLUMNS(D31:AH31)-AI31</f>
        <v>11</v>
      </c>
      <c r="AL31" s="8" t="n">
        <f aca="false">SUMPRODUCT((D31:AH31&lt;&gt;"")*(($D$5:$AH$5="Пт")+($D$5:$AH$5="Сб")))</f>
        <v>8</v>
      </c>
      <c r="AM31" s="26" t="n">
        <f aca="false">AJ31-Зміни!$C$19</f>
        <v>-24.5</v>
      </c>
    </row>
    <row r="32" customFormat="false" ht="15" hidden="false" customHeight="false" outlineLevel="0" collapsed="false">
      <c r="A32" s="8" t="n">
        <v>11</v>
      </c>
      <c r="B32" s="7" t="s">
        <v>101</v>
      </c>
      <c r="C32" s="37" t="s">
        <v>193</v>
      </c>
      <c r="D32" s="38" t="s">
        <v>41</v>
      </c>
      <c r="E32" s="38" t="s">
        <v>49</v>
      </c>
      <c r="F32" s="38" t="s">
        <v>49</v>
      </c>
      <c r="G32" s="38"/>
      <c r="H32" s="38"/>
      <c r="I32" s="38" t="s">
        <v>49</v>
      </c>
      <c r="J32" s="38" t="s">
        <v>49</v>
      </c>
      <c r="K32" s="38" t="s">
        <v>49</v>
      </c>
      <c r="L32" s="38" t="s">
        <v>49</v>
      </c>
      <c r="M32" s="38" t="s">
        <v>49</v>
      </c>
      <c r="N32" s="38"/>
      <c r="O32" s="38"/>
      <c r="P32" s="38"/>
      <c r="Q32" s="38" t="s">
        <v>49</v>
      </c>
      <c r="R32" s="38" t="s">
        <v>49</v>
      </c>
      <c r="S32" s="38" t="s">
        <v>49</v>
      </c>
      <c r="T32" s="38" t="s">
        <v>49</v>
      </c>
      <c r="U32" s="38"/>
      <c r="V32" s="38"/>
      <c r="W32" s="38" t="s">
        <v>49</v>
      </c>
      <c r="X32" s="38" t="s">
        <v>49</v>
      </c>
      <c r="Y32" s="38"/>
      <c r="Z32" s="38"/>
      <c r="AA32" s="38" t="s">
        <v>41</v>
      </c>
      <c r="AB32" s="38" t="s">
        <v>41</v>
      </c>
      <c r="AC32" s="38"/>
      <c r="AD32" s="38"/>
      <c r="AE32" s="38" t="s">
        <v>41</v>
      </c>
      <c r="AF32" s="38" t="s">
        <v>41</v>
      </c>
      <c r="AG32" s="38" t="s">
        <v>41</v>
      </c>
      <c r="AH32" s="38" t="s">
        <v>41</v>
      </c>
      <c r="AI32" s="8" t="n">
        <f aca="false">COUNTA(D32:AH32)</f>
        <v>20</v>
      </c>
      <c r="AJ32" s="39" t="n">
        <f aca="false">SUMPRODUCT((D32:AH32="Р")*$D$7:$AH$7)+SUMPRODUCT((D32:AH32="С")*$D$8:$AH$8)+SUMPRODUCT((D32:AH32="В")*$D$9:$AH$9)+SUMPRODUCT((D32:AH32="П")*$D$10:$AH$10)</f>
        <v>150</v>
      </c>
      <c r="AK32" s="8" t="n">
        <f aca="false">COLUMNS(D32:AH32)-AI32</f>
        <v>11</v>
      </c>
      <c r="AL32" s="8" t="n">
        <f aca="false">SUMPRODUCT((D32:AH32&lt;&gt;"")*(($D$5:$AH$5="Пт")+($D$5:$AH$5="Сб")))</f>
        <v>9</v>
      </c>
      <c r="AM32" s="26" t="n">
        <f aca="false">AJ32-Зміни!$C$19</f>
        <v>-26</v>
      </c>
    </row>
    <row r="33" customFormat="false" ht="15" hidden="false" customHeight="false" outlineLevel="0" collapsed="false">
      <c r="C33" s="35" t="s">
        <v>140</v>
      </c>
      <c r="D33" s="40" t="n">
        <f aca="false">COUNTIF(D$29:D$32,"Р")-INDEX(Норми!$C$12:$I$47,MATCH("Кухар гарячого цеху|Р",Норми!$L$12:$L$47,0),MATCH(D$5,Норми!$C$11:$I$11,0))</f>
        <v>0</v>
      </c>
      <c r="E33" s="40" t="n">
        <f aca="false">COUNTIF(E$29:E$32,"Р")-INDEX(Норми!$C$12:$I$47,MATCH("Кухар гарячого цеху|Р",Норми!$L$12:$L$47,0),MATCH(E$5,Норми!$C$11:$I$11,0))</f>
        <v>0</v>
      </c>
      <c r="F33" s="40" t="n">
        <f aca="false">COUNTIF(F$29:F$32,"Р")-INDEX(Норми!$C$12:$I$47,MATCH("Кухар гарячого цеху|Р",Норми!$L$12:$L$47,0),MATCH(F$5,Норми!$C$11:$I$11,0))</f>
        <v>0</v>
      </c>
      <c r="G33" s="40" t="n">
        <f aca="false">COUNTIF(G$29:G$32,"Р")-INDEX(Норми!$C$12:$I$47,MATCH("Кухар гарячого цеху|Р",Норми!$L$12:$L$47,0),MATCH(G$5,Норми!$C$11:$I$11,0))</f>
        <v>0</v>
      </c>
      <c r="H33" s="40" t="n">
        <f aca="false">COUNTIF(H$29:H$32,"Р")-INDEX(Норми!$C$12:$I$47,MATCH("Кухар гарячого цеху|Р",Норми!$L$12:$L$47,0),MATCH(H$5,Норми!$C$11:$I$11,0))</f>
        <v>0</v>
      </c>
      <c r="I33" s="40" t="n">
        <f aca="false">COUNTIF(I$29:I$32,"Р")-INDEX(Норми!$C$12:$I$47,MATCH("Кухар гарячого цеху|Р",Норми!$L$12:$L$47,0),MATCH(I$5,Норми!$C$11:$I$11,0))</f>
        <v>0</v>
      </c>
      <c r="J33" s="40" t="n">
        <f aca="false">COUNTIF(J$29:J$32,"Р")-INDEX(Норми!$C$12:$I$47,MATCH("Кухар гарячого цеху|Р",Норми!$L$12:$L$47,0),MATCH(J$5,Норми!$C$11:$I$11,0))</f>
        <v>0</v>
      </c>
      <c r="K33" s="40" t="n">
        <f aca="false">COUNTIF(K$29:K$32,"Р")-INDEX(Норми!$C$12:$I$47,MATCH("Кухар гарячого цеху|Р",Норми!$L$12:$L$47,0),MATCH(K$5,Норми!$C$11:$I$11,0))</f>
        <v>0</v>
      </c>
      <c r="L33" s="40" t="n">
        <f aca="false">COUNTIF(L$29:L$32,"Р")-INDEX(Норми!$C$12:$I$47,MATCH("Кухар гарячого цеху|Р",Норми!$L$12:$L$47,0),MATCH(L$5,Норми!$C$11:$I$11,0))</f>
        <v>0</v>
      </c>
      <c r="M33" s="40" t="n">
        <f aca="false">COUNTIF(M$29:M$32,"Р")-INDEX(Норми!$C$12:$I$47,MATCH("Кухар гарячого цеху|Р",Норми!$L$12:$L$47,0),MATCH(M$5,Норми!$C$11:$I$11,0))</f>
        <v>0</v>
      </c>
      <c r="N33" s="40" t="n">
        <f aca="false">COUNTIF(N$29:N$32,"Р")-INDEX(Норми!$C$12:$I$47,MATCH("Кухар гарячого цеху|Р",Норми!$L$12:$L$47,0),MATCH(N$5,Норми!$C$11:$I$11,0))</f>
        <v>0</v>
      </c>
      <c r="O33" s="40" t="n">
        <f aca="false">COUNTIF(O$29:O$32,"Р")-INDEX(Норми!$C$12:$I$47,MATCH("Кухар гарячого цеху|Р",Норми!$L$12:$L$47,0),MATCH(O$5,Норми!$C$11:$I$11,0))</f>
        <v>0</v>
      </c>
      <c r="P33" s="40" t="n">
        <f aca="false">COUNTIF(P$29:P$32,"Р")-INDEX(Норми!$C$12:$I$47,MATCH("Кухар гарячого цеху|Р",Норми!$L$12:$L$47,0),MATCH(P$5,Норми!$C$11:$I$11,0))</f>
        <v>0</v>
      </c>
      <c r="Q33" s="40" t="n">
        <f aca="false">COUNTIF(Q$29:Q$32,"Р")-INDEX(Норми!$C$12:$I$47,MATCH("Кухар гарячого цеху|Р",Норми!$L$12:$L$47,0),MATCH(Q$5,Норми!$C$11:$I$11,0))</f>
        <v>0</v>
      </c>
      <c r="R33" s="40" t="n">
        <f aca="false">COUNTIF(R$29:R$32,"Р")-INDEX(Норми!$C$12:$I$47,MATCH("Кухар гарячого цеху|Р",Норми!$L$12:$L$47,0),MATCH(R$5,Норми!$C$11:$I$11,0))</f>
        <v>0</v>
      </c>
      <c r="S33" s="40" t="n">
        <f aca="false">COUNTIF(S$29:S$32,"Р")-INDEX(Норми!$C$12:$I$47,MATCH("Кухар гарячого цеху|Р",Норми!$L$12:$L$47,0),MATCH(S$5,Норми!$C$11:$I$11,0))</f>
        <v>0</v>
      </c>
      <c r="T33" s="40" t="n">
        <f aca="false">COUNTIF(T$29:T$32,"Р")-INDEX(Норми!$C$12:$I$47,MATCH("Кухар гарячого цеху|Р",Норми!$L$12:$L$47,0),MATCH(T$5,Норми!$C$11:$I$11,0))</f>
        <v>0</v>
      </c>
      <c r="U33" s="40" t="n">
        <f aca="false">COUNTIF(U$29:U$32,"Р")-INDEX(Норми!$C$12:$I$47,MATCH("Кухар гарячого цеху|Р",Норми!$L$12:$L$47,0),MATCH(U$5,Норми!$C$11:$I$11,0))</f>
        <v>0</v>
      </c>
      <c r="V33" s="40" t="n">
        <f aca="false">COUNTIF(V$29:V$32,"Р")-INDEX(Норми!$C$12:$I$47,MATCH("Кухар гарячого цеху|Р",Норми!$L$12:$L$47,0),MATCH(V$5,Норми!$C$11:$I$11,0))</f>
        <v>0</v>
      </c>
      <c r="W33" s="40" t="n">
        <f aca="false">COUNTIF(W$29:W$32,"Р")-INDEX(Норми!$C$12:$I$47,MATCH("Кухар гарячого цеху|Р",Норми!$L$12:$L$47,0),MATCH(W$5,Норми!$C$11:$I$11,0))</f>
        <v>0</v>
      </c>
      <c r="X33" s="40" t="n">
        <f aca="false">COUNTIF(X$29:X$32,"Р")-INDEX(Норми!$C$12:$I$47,MATCH("Кухар гарячого цеху|Р",Норми!$L$12:$L$47,0),MATCH(X$5,Норми!$C$11:$I$11,0))</f>
        <v>0</v>
      </c>
      <c r="Y33" s="40" t="n">
        <f aca="false">COUNTIF(Y$29:Y$32,"Р")-INDEX(Норми!$C$12:$I$47,MATCH("Кухар гарячого цеху|Р",Норми!$L$12:$L$47,0),MATCH(Y$5,Норми!$C$11:$I$11,0))</f>
        <v>0</v>
      </c>
      <c r="Z33" s="40" t="n">
        <f aca="false">COUNTIF(Z$29:Z$32,"Р")-INDEX(Норми!$C$12:$I$47,MATCH("Кухар гарячого цеху|Р",Норми!$L$12:$L$47,0),MATCH(Z$5,Норми!$C$11:$I$11,0))</f>
        <v>0</v>
      </c>
      <c r="AA33" s="40" t="n">
        <f aca="false">COUNTIF(AA$29:AA$32,"Р")-INDEX(Норми!$C$12:$I$47,MATCH("Кухар гарячого цеху|Р",Норми!$L$12:$L$47,0),MATCH(AA$5,Норми!$C$11:$I$11,0))</f>
        <v>0</v>
      </c>
      <c r="AB33" s="40" t="n">
        <f aca="false">COUNTIF(AB$29:AB$32,"Р")-INDEX(Норми!$C$12:$I$47,MATCH("Кухар гарячого цеху|Р",Норми!$L$12:$L$47,0),MATCH(AB$5,Норми!$C$11:$I$11,0))</f>
        <v>0</v>
      </c>
      <c r="AC33" s="40" t="n">
        <f aca="false">COUNTIF(AC$29:AC$32,"Р")-INDEX(Норми!$C$12:$I$47,MATCH("Кухар гарячого цеху|Р",Норми!$L$12:$L$47,0),MATCH(AC$5,Норми!$C$11:$I$11,0))</f>
        <v>0</v>
      </c>
      <c r="AD33" s="40" t="n">
        <f aca="false">COUNTIF(AD$29:AD$32,"Р")-INDEX(Норми!$C$12:$I$47,MATCH("Кухар гарячого цеху|Р",Норми!$L$12:$L$47,0),MATCH(AD$5,Норми!$C$11:$I$11,0))</f>
        <v>0</v>
      </c>
      <c r="AE33" s="40" t="n">
        <f aca="false">COUNTIF(AE$29:AE$32,"Р")-INDEX(Норми!$C$12:$I$47,MATCH("Кухар гарячого цеху|Р",Норми!$L$12:$L$47,0),MATCH(AE$5,Норми!$C$11:$I$11,0))</f>
        <v>0</v>
      </c>
      <c r="AF33" s="40" t="n">
        <f aca="false">COUNTIF(AF$29:AF$32,"Р")-INDEX(Норми!$C$12:$I$47,MATCH("Кухар гарячого цеху|Р",Норми!$L$12:$L$47,0),MATCH(AF$5,Норми!$C$11:$I$11,0))</f>
        <v>0</v>
      </c>
      <c r="AG33" s="40" t="n">
        <f aca="false">COUNTIF(AG$29:AG$32,"Р")-INDEX(Норми!$C$12:$I$47,MATCH("Кухар гарячого цеху|Р",Норми!$L$12:$L$47,0),MATCH(AG$5,Норми!$C$11:$I$11,0))</f>
        <v>0</v>
      </c>
      <c r="AH33" s="40" t="n">
        <f aca="false">COUNTIF(AH$29:AH$32,"Р")-INDEX(Норми!$C$12:$I$47,MATCH("Кухар гарячого цеху|Р",Норми!$L$12:$L$47,0),MATCH(AH$5,Норми!$C$11:$I$11,0))</f>
        <v>0</v>
      </c>
    </row>
    <row r="34" customFormat="false" ht="15" hidden="false" customHeight="false" outlineLevel="0" collapsed="false">
      <c r="C34" s="35" t="s">
        <v>147</v>
      </c>
      <c r="D34" s="40" t="n">
        <f aca="false">COUNTIF(D$29:D$32,"С")-INDEX(Норми!$C$12:$I$47,MATCH("Кухар гарячого цеху|С",Норми!$L$12:$L$47,0),MATCH(D$5,Норми!$C$11:$I$11,0))</f>
        <v>0</v>
      </c>
      <c r="E34" s="40" t="n">
        <f aca="false">COUNTIF(E$29:E$32,"С")-INDEX(Норми!$C$12:$I$47,MATCH("Кухар гарячого цеху|С",Норми!$L$12:$L$47,0),MATCH(E$5,Норми!$C$11:$I$11,0))</f>
        <v>0</v>
      </c>
      <c r="F34" s="40" t="n">
        <f aca="false">COUNTIF(F$29:F$32,"С")-INDEX(Норми!$C$12:$I$47,MATCH("Кухар гарячого цеху|С",Норми!$L$12:$L$47,0),MATCH(F$5,Норми!$C$11:$I$11,0))</f>
        <v>0</v>
      </c>
      <c r="G34" s="40" t="n">
        <f aca="false">COUNTIF(G$29:G$32,"С")-INDEX(Норми!$C$12:$I$47,MATCH("Кухар гарячого цеху|С",Норми!$L$12:$L$47,0),MATCH(G$5,Норми!$C$11:$I$11,0))</f>
        <v>0</v>
      </c>
      <c r="H34" s="40" t="n">
        <f aca="false">COUNTIF(H$29:H$32,"С")-INDEX(Норми!$C$12:$I$47,MATCH("Кухар гарячого цеху|С",Норми!$L$12:$L$47,0),MATCH(H$5,Норми!$C$11:$I$11,0))</f>
        <v>0</v>
      </c>
      <c r="I34" s="40" t="n">
        <f aca="false">COUNTIF(I$29:I$32,"С")-INDEX(Норми!$C$12:$I$47,MATCH("Кухар гарячого цеху|С",Норми!$L$12:$L$47,0),MATCH(I$5,Норми!$C$11:$I$11,0))</f>
        <v>0</v>
      </c>
      <c r="J34" s="40" t="n">
        <f aca="false">COUNTIF(J$29:J$32,"С")-INDEX(Норми!$C$12:$I$47,MATCH("Кухар гарячого цеху|С",Норми!$L$12:$L$47,0),MATCH(J$5,Норми!$C$11:$I$11,0))</f>
        <v>0</v>
      </c>
      <c r="K34" s="40" t="n">
        <f aca="false">COUNTIF(K$29:K$32,"С")-INDEX(Норми!$C$12:$I$47,MATCH("Кухар гарячого цеху|С",Норми!$L$12:$L$47,0),MATCH(K$5,Норми!$C$11:$I$11,0))</f>
        <v>0</v>
      </c>
      <c r="L34" s="40" t="n">
        <f aca="false">COUNTIF(L$29:L$32,"С")-INDEX(Норми!$C$12:$I$47,MATCH("Кухар гарячого цеху|С",Норми!$L$12:$L$47,0),MATCH(L$5,Норми!$C$11:$I$11,0))</f>
        <v>0</v>
      </c>
      <c r="M34" s="40" t="n">
        <f aca="false">COUNTIF(M$29:M$32,"С")-INDEX(Норми!$C$12:$I$47,MATCH("Кухар гарячого цеху|С",Норми!$L$12:$L$47,0),MATCH(M$5,Норми!$C$11:$I$11,0))</f>
        <v>0</v>
      </c>
      <c r="N34" s="40" t="n">
        <f aca="false">COUNTIF(N$29:N$32,"С")-INDEX(Норми!$C$12:$I$47,MATCH("Кухар гарячого цеху|С",Норми!$L$12:$L$47,0),MATCH(N$5,Норми!$C$11:$I$11,0))</f>
        <v>0</v>
      </c>
      <c r="O34" s="40" t="n">
        <f aca="false">COUNTIF(O$29:O$32,"С")-INDEX(Норми!$C$12:$I$47,MATCH("Кухар гарячого цеху|С",Норми!$L$12:$L$47,0),MATCH(O$5,Норми!$C$11:$I$11,0))</f>
        <v>0</v>
      </c>
      <c r="P34" s="40" t="n">
        <f aca="false">COUNTIF(P$29:P$32,"С")-INDEX(Норми!$C$12:$I$47,MATCH("Кухар гарячого цеху|С",Норми!$L$12:$L$47,0),MATCH(P$5,Норми!$C$11:$I$11,0))</f>
        <v>0</v>
      </c>
      <c r="Q34" s="40" t="n">
        <f aca="false">COUNTIF(Q$29:Q$32,"С")-INDEX(Норми!$C$12:$I$47,MATCH("Кухар гарячого цеху|С",Норми!$L$12:$L$47,0),MATCH(Q$5,Норми!$C$11:$I$11,0))</f>
        <v>0</v>
      </c>
      <c r="R34" s="40" t="n">
        <f aca="false">COUNTIF(R$29:R$32,"С")-INDEX(Норми!$C$12:$I$47,MATCH("Кухар гарячого цеху|С",Норми!$L$12:$L$47,0),MATCH(R$5,Норми!$C$11:$I$11,0))</f>
        <v>0</v>
      </c>
      <c r="S34" s="40" t="n">
        <f aca="false">COUNTIF(S$29:S$32,"С")-INDEX(Норми!$C$12:$I$47,MATCH("Кухар гарячого цеху|С",Норми!$L$12:$L$47,0),MATCH(S$5,Норми!$C$11:$I$11,0))</f>
        <v>0</v>
      </c>
      <c r="T34" s="40" t="n">
        <f aca="false">COUNTIF(T$29:T$32,"С")-INDEX(Норми!$C$12:$I$47,MATCH("Кухар гарячого цеху|С",Норми!$L$12:$L$47,0),MATCH(T$5,Норми!$C$11:$I$11,0))</f>
        <v>0</v>
      </c>
      <c r="U34" s="40" t="n">
        <f aca="false">COUNTIF(U$29:U$32,"С")-INDEX(Норми!$C$12:$I$47,MATCH("Кухар гарячого цеху|С",Норми!$L$12:$L$47,0),MATCH(U$5,Норми!$C$11:$I$11,0))</f>
        <v>0</v>
      </c>
      <c r="V34" s="40" t="n">
        <f aca="false">COUNTIF(V$29:V$32,"С")-INDEX(Норми!$C$12:$I$47,MATCH("Кухар гарячого цеху|С",Норми!$L$12:$L$47,0),MATCH(V$5,Норми!$C$11:$I$11,0))</f>
        <v>0</v>
      </c>
      <c r="W34" s="40" t="n">
        <f aca="false">COUNTIF(W$29:W$32,"С")-INDEX(Норми!$C$12:$I$47,MATCH("Кухар гарячого цеху|С",Норми!$L$12:$L$47,0),MATCH(W$5,Норми!$C$11:$I$11,0))</f>
        <v>0</v>
      </c>
      <c r="X34" s="40" t="n">
        <f aca="false">COUNTIF(X$29:X$32,"С")-INDEX(Норми!$C$12:$I$47,MATCH("Кухар гарячого цеху|С",Норми!$L$12:$L$47,0),MATCH(X$5,Норми!$C$11:$I$11,0))</f>
        <v>0</v>
      </c>
      <c r="Y34" s="40" t="n">
        <f aca="false">COUNTIF(Y$29:Y$32,"С")-INDEX(Норми!$C$12:$I$47,MATCH("Кухар гарячого цеху|С",Норми!$L$12:$L$47,0),MATCH(Y$5,Норми!$C$11:$I$11,0))</f>
        <v>0</v>
      </c>
      <c r="Z34" s="40" t="n">
        <f aca="false">COUNTIF(Z$29:Z$32,"С")-INDEX(Норми!$C$12:$I$47,MATCH("Кухар гарячого цеху|С",Норми!$L$12:$L$47,0),MATCH(Z$5,Норми!$C$11:$I$11,0))</f>
        <v>0</v>
      </c>
      <c r="AA34" s="40" t="n">
        <f aca="false">COUNTIF(AA$29:AA$32,"С")-INDEX(Норми!$C$12:$I$47,MATCH("Кухар гарячого цеху|С",Норми!$L$12:$L$47,0),MATCH(AA$5,Норми!$C$11:$I$11,0))</f>
        <v>0</v>
      </c>
      <c r="AB34" s="40" t="n">
        <f aca="false">COUNTIF(AB$29:AB$32,"С")-INDEX(Норми!$C$12:$I$47,MATCH("Кухар гарячого цеху|С",Норми!$L$12:$L$47,0),MATCH(AB$5,Норми!$C$11:$I$11,0))</f>
        <v>0</v>
      </c>
      <c r="AC34" s="40" t="n">
        <f aca="false">COUNTIF(AC$29:AC$32,"С")-INDEX(Норми!$C$12:$I$47,MATCH("Кухар гарячого цеху|С",Норми!$L$12:$L$47,0),MATCH(AC$5,Норми!$C$11:$I$11,0))</f>
        <v>0</v>
      </c>
      <c r="AD34" s="40" t="n">
        <f aca="false">COUNTIF(AD$29:AD$32,"С")-INDEX(Норми!$C$12:$I$47,MATCH("Кухар гарячого цеху|С",Норми!$L$12:$L$47,0),MATCH(AD$5,Норми!$C$11:$I$11,0))</f>
        <v>0</v>
      </c>
      <c r="AE34" s="40" t="n">
        <f aca="false">COUNTIF(AE$29:AE$32,"С")-INDEX(Норми!$C$12:$I$47,MATCH("Кухар гарячого цеху|С",Норми!$L$12:$L$47,0),MATCH(AE$5,Норми!$C$11:$I$11,0))</f>
        <v>0</v>
      </c>
      <c r="AF34" s="40" t="n">
        <f aca="false">COUNTIF(AF$29:AF$32,"С")-INDEX(Норми!$C$12:$I$47,MATCH("Кухар гарячого цеху|С",Норми!$L$12:$L$47,0),MATCH(AF$5,Норми!$C$11:$I$11,0))</f>
        <v>0</v>
      </c>
      <c r="AG34" s="40" t="n">
        <f aca="false">COUNTIF(AG$29:AG$32,"С")-INDEX(Норми!$C$12:$I$47,MATCH("Кухар гарячого цеху|С",Норми!$L$12:$L$47,0),MATCH(AG$5,Норми!$C$11:$I$11,0))</f>
        <v>0</v>
      </c>
      <c r="AH34" s="40" t="n">
        <f aca="false">COUNTIF(AH$29:AH$32,"С")-INDEX(Норми!$C$12:$I$47,MATCH("Кухар гарячого цеху|С",Норми!$L$12:$L$47,0),MATCH(AH$5,Норми!$C$11:$I$11,0))</f>
        <v>0</v>
      </c>
    </row>
    <row r="35" customFormat="false" ht="15" hidden="false" customHeight="false" outlineLevel="0" collapsed="false">
      <c r="C35" s="35" t="s">
        <v>141</v>
      </c>
      <c r="D35" s="40" t="n">
        <f aca="false">COUNTIF(D$29:D$32,"В")-INDEX(Норми!$C$12:$I$47,MATCH("Кухар гарячого цеху|В",Норми!$L$12:$L$47,0),MATCH(D$5,Норми!$C$11:$I$11,0))</f>
        <v>0</v>
      </c>
      <c r="E35" s="40" t="n">
        <f aca="false">COUNTIF(E$29:E$32,"В")-INDEX(Норми!$C$12:$I$47,MATCH("Кухар гарячого цеху|В",Норми!$L$12:$L$47,0),MATCH(E$5,Норми!$C$11:$I$11,0))</f>
        <v>0</v>
      </c>
      <c r="F35" s="40" t="n">
        <f aca="false">COUNTIF(F$29:F$32,"В")-INDEX(Норми!$C$12:$I$47,MATCH("Кухар гарячого цеху|В",Норми!$L$12:$L$47,0),MATCH(F$5,Норми!$C$11:$I$11,0))</f>
        <v>0</v>
      </c>
      <c r="G35" s="40" t="n">
        <f aca="false">COUNTIF(G$29:G$32,"В")-INDEX(Норми!$C$12:$I$47,MATCH("Кухар гарячого цеху|В",Норми!$L$12:$L$47,0),MATCH(G$5,Норми!$C$11:$I$11,0))</f>
        <v>0</v>
      </c>
      <c r="H35" s="40" t="n">
        <f aca="false">COUNTIF(H$29:H$32,"В")-INDEX(Норми!$C$12:$I$47,MATCH("Кухар гарячого цеху|В",Норми!$L$12:$L$47,0),MATCH(H$5,Норми!$C$11:$I$11,0))</f>
        <v>0</v>
      </c>
      <c r="I35" s="40" t="n">
        <f aca="false">COUNTIF(I$29:I$32,"В")-INDEX(Норми!$C$12:$I$47,MATCH("Кухар гарячого цеху|В",Норми!$L$12:$L$47,0),MATCH(I$5,Норми!$C$11:$I$11,0))</f>
        <v>0</v>
      </c>
      <c r="J35" s="40" t="n">
        <f aca="false">COUNTIF(J$29:J$32,"В")-INDEX(Норми!$C$12:$I$47,MATCH("Кухар гарячого цеху|В",Норми!$L$12:$L$47,0),MATCH(J$5,Норми!$C$11:$I$11,0))</f>
        <v>0</v>
      </c>
      <c r="K35" s="40" t="n">
        <f aca="false">COUNTIF(K$29:K$32,"В")-INDEX(Норми!$C$12:$I$47,MATCH("Кухар гарячого цеху|В",Норми!$L$12:$L$47,0),MATCH(K$5,Норми!$C$11:$I$11,0))</f>
        <v>0</v>
      </c>
      <c r="L35" s="40" t="n">
        <f aca="false">COUNTIF(L$29:L$32,"В")-INDEX(Норми!$C$12:$I$47,MATCH("Кухар гарячого цеху|В",Норми!$L$12:$L$47,0),MATCH(L$5,Норми!$C$11:$I$11,0))</f>
        <v>0</v>
      </c>
      <c r="M35" s="40" t="n">
        <f aca="false">COUNTIF(M$29:M$32,"В")-INDEX(Норми!$C$12:$I$47,MATCH("Кухар гарячого цеху|В",Норми!$L$12:$L$47,0),MATCH(M$5,Норми!$C$11:$I$11,0))</f>
        <v>0</v>
      </c>
      <c r="N35" s="40" t="n">
        <f aca="false">COUNTIF(N$29:N$32,"В")-INDEX(Норми!$C$12:$I$47,MATCH("Кухар гарячого цеху|В",Норми!$L$12:$L$47,0),MATCH(N$5,Норми!$C$11:$I$11,0))</f>
        <v>0</v>
      </c>
      <c r="O35" s="40" t="n">
        <f aca="false">COUNTIF(O$29:O$32,"В")-INDEX(Норми!$C$12:$I$47,MATCH("Кухар гарячого цеху|В",Норми!$L$12:$L$47,0),MATCH(O$5,Норми!$C$11:$I$11,0))</f>
        <v>0</v>
      </c>
      <c r="P35" s="40" t="n">
        <f aca="false">COUNTIF(P$29:P$32,"В")-INDEX(Норми!$C$12:$I$47,MATCH("Кухар гарячого цеху|В",Норми!$L$12:$L$47,0),MATCH(P$5,Норми!$C$11:$I$11,0))</f>
        <v>0</v>
      </c>
      <c r="Q35" s="40" t="n">
        <f aca="false">COUNTIF(Q$29:Q$32,"В")-INDEX(Норми!$C$12:$I$47,MATCH("Кухар гарячого цеху|В",Норми!$L$12:$L$47,0),MATCH(Q$5,Норми!$C$11:$I$11,0))</f>
        <v>0</v>
      </c>
      <c r="R35" s="40" t="n">
        <f aca="false">COUNTIF(R$29:R$32,"В")-INDEX(Норми!$C$12:$I$47,MATCH("Кухар гарячого цеху|В",Норми!$L$12:$L$47,0),MATCH(R$5,Норми!$C$11:$I$11,0))</f>
        <v>0</v>
      </c>
      <c r="S35" s="40" t="n">
        <f aca="false">COUNTIF(S$29:S$32,"В")-INDEX(Норми!$C$12:$I$47,MATCH("Кухар гарячого цеху|В",Норми!$L$12:$L$47,0),MATCH(S$5,Норми!$C$11:$I$11,0))</f>
        <v>0</v>
      </c>
      <c r="T35" s="40" t="n">
        <f aca="false">COUNTIF(T$29:T$32,"В")-INDEX(Норми!$C$12:$I$47,MATCH("Кухар гарячого цеху|В",Норми!$L$12:$L$47,0),MATCH(T$5,Норми!$C$11:$I$11,0))</f>
        <v>0</v>
      </c>
      <c r="U35" s="40" t="n">
        <f aca="false">COUNTIF(U$29:U$32,"В")-INDEX(Норми!$C$12:$I$47,MATCH("Кухар гарячого цеху|В",Норми!$L$12:$L$47,0),MATCH(U$5,Норми!$C$11:$I$11,0))</f>
        <v>0</v>
      </c>
      <c r="V35" s="40" t="n">
        <f aca="false">COUNTIF(V$29:V$32,"В")-INDEX(Норми!$C$12:$I$47,MATCH("Кухар гарячого цеху|В",Норми!$L$12:$L$47,0),MATCH(V$5,Норми!$C$11:$I$11,0))</f>
        <v>0</v>
      </c>
      <c r="W35" s="40" t="n">
        <f aca="false">COUNTIF(W$29:W$32,"В")-INDEX(Норми!$C$12:$I$47,MATCH("Кухар гарячого цеху|В",Норми!$L$12:$L$47,0),MATCH(W$5,Норми!$C$11:$I$11,0))</f>
        <v>0</v>
      </c>
      <c r="X35" s="40" t="n">
        <f aca="false">COUNTIF(X$29:X$32,"В")-INDEX(Норми!$C$12:$I$47,MATCH("Кухар гарячого цеху|В",Норми!$L$12:$L$47,0),MATCH(X$5,Норми!$C$11:$I$11,0))</f>
        <v>0</v>
      </c>
      <c r="Y35" s="40" t="n">
        <f aca="false">COUNTIF(Y$29:Y$32,"В")-INDEX(Норми!$C$12:$I$47,MATCH("Кухар гарячого цеху|В",Норми!$L$12:$L$47,0),MATCH(Y$5,Норми!$C$11:$I$11,0))</f>
        <v>0</v>
      </c>
      <c r="Z35" s="40" t="n">
        <f aca="false">COUNTIF(Z$29:Z$32,"В")-INDEX(Норми!$C$12:$I$47,MATCH("Кухар гарячого цеху|В",Норми!$L$12:$L$47,0),MATCH(Z$5,Норми!$C$11:$I$11,0))</f>
        <v>0</v>
      </c>
      <c r="AA35" s="40" t="n">
        <f aca="false">COUNTIF(AA$29:AA$32,"В")-INDEX(Норми!$C$12:$I$47,MATCH("Кухар гарячого цеху|В",Норми!$L$12:$L$47,0),MATCH(AA$5,Норми!$C$11:$I$11,0))</f>
        <v>0</v>
      </c>
      <c r="AB35" s="40" t="n">
        <f aca="false">COUNTIF(AB$29:AB$32,"В")-INDEX(Норми!$C$12:$I$47,MATCH("Кухар гарячого цеху|В",Норми!$L$12:$L$47,0),MATCH(AB$5,Норми!$C$11:$I$11,0))</f>
        <v>0</v>
      </c>
      <c r="AC35" s="40" t="n">
        <f aca="false">COUNTIF(AC$29:AC$32,"В")-INDEX(Норми!$C$12:$I$47,MATCH("Кухар гарячого цеху|В",Норми!$L$12:$L$47,0),MATCH(AC$5,Норми!$C$11:$I$11,0))</f>
        <v>0</v>
      </c>
      <c r="AD35" s="40" t="n">
        <f aca="false">COUNTIF(AD$29:AD$32,"В")-INDEX(Норми!$C$12:$I$47,MATCH("Кухар гарячого цеху|В",Норми!$L$12:$L$47,0),MATCH(AD$5,Норми!$C$11:$I$11,0))</f>
        <v>0</v>
      </c>
      <c r="AE35" s="40" t="n">
        <f aca="false">COUNTIF(AE$29:AE$32,"В")-INDEX(Норми!$C$12:$I$47,MATCH("Кухар гарячого цеху|В",Норми!$L$12:$L$47,0),MATCH(AE$5,Норми!$C$11:$I$11,0))</f>
        <v>0</v>
      </c>
      <c r="AF35" s="40" t="n">
        <f aca="false">COUNTIF(AF$29:AF$32,"В")-INDEX(Норми!$C$12:$I$47,MATCH("Кухар гарячого цеху|В",Норми!$L$12:$L$47,0),MATCH(AF$5,Норми!$C$11:$I$11,0))</f>
        <v>0</v>
      </c>
      <c r="AG35" s="40" t="n">
        <f aca="false">COUNTIF(AG$29:AG$32,"В")-INDEX(Норми!$C$12:$I$47,MATCH("Кухар гарячого цеху|В",Норми!$L$12:$L$47,0),MATCH(AG$5,Норми!$C$11:$I$11,0))</f>
        <v>0</v>
      </c>
      <c r="AH35" s="40" t="n">
        <f aca="false">COUNTIF(AH$29:AH$32,"В")-INDEX(Норми!$C$12:$I$47,MATCH("Кухар гарячого цеху|В",Норми!$L$12:$L$47,0),MATCH(AH$5,Норми!$C$11:$I$11,0))</f>
        <v>0</v>
      </c>
    </row>
    <row r="37" customFormat="false" ht="15" hidden="false" customHeight="false" outlineLevel="0" collapsed="false">
      <c r="A37" s="21" t="s">
        <v>194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</row>
    <row r="38" customFormat="false" ht="15" hidden="false" customHeight="false" outlineLevel="0" collapsed="false">
      <c r="A38" s="8" t="n">
        <v>12</v>
      </c>
      <c r="B38" s="7" t="s">
        <v>102</v>
      </c>
      <c r="C38" s="37" t="s">
        <v>195</v>
      </c>
      <c r="D38" s="38"/>
      <c r="E38" s="38" t="s">
        <v>45</v>
      </c>
      <c r="F38" s="38" t="s">
        <v>45</v>
      </c>
      <c r="G38" s="38" t="s">
        <v>49</v>
      </c>
      <c r="H38" s="38" t="s">
        <v>49</v>
      </c>
      <c r="I38" s="38" t="s">
        <v>49</v>
      </c>
      <c r="J38" s="38"/>
      <c r="K38" s="38"/>
      <c r="L38" s="38" t="s">
        <v>49</v>
      </c>
      <c r="M38" s="38" t="s">
        <v>49</v>
      </c>
      <c r="N38" s="38" t="s">
        <v>49</v>
      </c>
      <c r="O38" s="38"/>
      <c r="P38" s="38"/>
      <c r="Q38" s="38" t="s">
        <v>49</v>
      </c>
      <c r="R38" s="38" t="s">
        <v>49</v>
      </c>
      <c r="S38" s="38"/>
      <c r="T38" s="38"/>
      <c r="U38" s="38"/>
      <c r="V38" s="38"/>
      <c r="W38" s="38"/>
      <c r="X38" s="38" t="s">
        <v>41</v>
      </c>
      <c r="Y38" s="38" t="s">
        <v>41</v>
      </c>
      <c r="Z38" s="38" t="s">
        <v>45</v>
      </c>
      <c r="AA38" s="38" t="s">
        <v>49</v>
      </c>
      <c r="AB38" s="38"/>
      <c r="AC38" s="38"/>
      <c r="AD38" s="38"/>
      <c r="AE38" s="38" t="s">
        <v>41</v>
      </c>
      <c r="AF38" s="38" t="s">
        <v>41</v>
      </c>
      <c r="AG38" s="38" t="s">
        <v>41</v>
      </c>
      <c r="AH38" s="38" t="s">
        <v>41</v>
      </c>
      <c r="AI38" s="8" t="n">
        <f aca="false">COUNTA(D38:AH38)</f>
        <v>18</v>
      </c>
      <c r="AJ38" s="39" t="n">
        <f aca="false">SUMPRODUCT((D38:AH38="Р")*$D$7:$AH$7)+SUMPRODUCT((D38:AH38="С")*$D$8:$AH$8)+SUMPRODUCT((D38:AH38="В")*$D$9:$AH$9)+SUMPRODUCT((D38:AH38="П")*$D$10:$AH$10)</f>
        <v>135.5</v>
      </c>
      <c r="AK38" s="8" t="n">
        <f aca="false">COLUMNS(D38:AH38)-AI38</f>
        <v>13</v>
      </c>
      <c r="AL38" s="8" t="n">
        <f aca="false">SUMPRODUCT((D38:AH38&lt;&gt;"")*(($D$5:$AH$5="Пт")+($D$5:$AH$5="Сб")))</f>
        <v>8</v>
      </c>
      <c r="AM38" s="26" t="n">
        <f aca="false">AJ38-Зміни!$C$19</f>
        <v>-40.5</v>
      </c>
    </row>
    <row r="39" customFormat="false" ht="15" hidden="false" customHeight="false" outlineLevel="0" collapsed="false">
      <c r="A39" s="8" t="n">
        <v>13</v>
      </c>
      <c r="B39" s="7" t="s">
        <v>102</v>
      </c>
      <c r="C39" s="37" t="s">
        <v>196</v>
      </c>
      <c r="D39" s="38" t="s">
        <v>49</v>
      </c>
      <c r="E39" s="38"/>
      <c r="F39" s="38" t="s">
        <v>41</v>
      </c>
      <c r="G39" s="38" t="s">
        <v>41</v>
      </c>
      <c r="H39" s="38"/>
      <c r="I39" s="38"/>
      <c r="J39" s="38" t="s">
        <v>49</v>
      </c>
      <c r="K39" s="38" t="s">
        <v>49</v>
      </c>
      <c r="L39" s="38"/>
      <c r="M39" s="38" t="s">
        <v>41</v>
      </c>
      <c r="N39" s="38"/>
      <c r="O39" s="38"/>
      <c r="P39" s="38" t="s">
        <v>41</v>
      </c>
      <c r="Q39" s="38" t="s">
        <v>41</v>
      </c>
      <c r="R39" s="38"/>
      <c r="S39" s="38" t="s">
        <v>41</v>
      </c>
      <c r="T39" s="38" t="s">
        <v>41</v>
      </c>
      <c r="U39" s="38" t="s">
        <v>41</v>
      </c>
      <c r="V39" s="38" t="s">
        <v>41</v>
      </c>
      <c r="W39" s="38" t="s">
        <v>49</v>
      </c>
      <c r="X39" s="38"/>
      <c r="Y39" s="38"/>
      <c r="Z39" s="38" t="s">
        <v>41</v>
      </c>
      <c r="AA39" s="38" t="s">
        <v>45</v>
      </c>
      <c r="AB39" s="38" t="s">
        <v>49</v>
      </c>
      <c r="AC39" s="38"/>
      <c r="AD39" s="38"/>
      <c r="AE39" s="38" t="s">
        <v>49</v>
      </c>
      <c r="AF39" s="38"/>
      <c r="AG39" s="38"/>
      <c r="AH39" s="38" t="s">
        <v>45</v>
      </c>
      <c r="AI39" s="8" t="n">
        <f aca="false">COUNTA(D39:AH39)</f>
        <v>18</v>
      </c>
      <c r="AJ39" s="39" t="n">
        <f aca="false">SUMPRODUCT((D39:AH39="Р")*$D$7:$AH$7)+SUMPRODUCT((D39:AH39="С")*$D$8:$AH$8)+SUMPRODUCT((D39:AH39="В")*$D$9:$AH$9)+SUMPRODUCT((D39:AH39="П")*$D$10:$AH$10)</f>
        <v>135.5</v>
      </c>
      <c r="AK39" s="8" t="n">
        <f aca="false">COLUMNS(D39:AH39)-AI39</f>
        <v>13</v>
      </c>
      <c r="AL39" s="8" t="n">
        <f aca="false">SUMPRODUCT((D39:AH39&lt;&gt;"")*(($D$5:$AH$5="Пт")+($D$5:$AH$5="Сб")))</f>
        <v>7</v>
      </c>
      <c r="AM39" s="26" t="n">
        <f aca="false">AJ39-Зміни!$C$19</f>
        <v>-40.5</v>
      </c>
    </row>
    <row r="40" customFormat="false" ht="15" hidden="false" customHeight="false" outlineLevel="0" collapsed="false">
      <c r="A40" s="8" t="n">
        <v>14</v>
      </c>
      <c r="B40" s="7" t="s">
        <v>102</v>
      </c>
      <c r="C40" s="37" t="s">
        <v>197</v>
      </c>
      <c r="D40" s="38" t="s">
        <v>41</v>
      </c>
      <c r="E40" s="38" t="s">
        <v>41</v>
      </c>
      <c r="F40" s="38"/>
      <c r="G40" s="38"/>
      <c r="H40" s="38" t="s">
        <v>41</v>
      </c>
      <c r="I40" s="38"/>
      <c r="J40" s="38"/>
      <c r="K40" s="38"/>
      <c r="L40" s="38" t="s">
        <v>45</v>
      </c>
      <c r="M40" s="38"/>
      <c r="N40" s="38" t="s">
        <v>41</v>
      </c>
      <c r="O40" s="38" t="s">
        <v>49</v>
      </c>
      <c r="P40" s="38"/>
      <c r="Q40" s="38"/>
      <c r="R40" s="38" t="s">
        <v>41</v>
      </c>
      <c r="S40" s="38" t="s">
        <v>45</v>
      </c>
      <c r="T40" s="38" t="s">
        <v>45</v>
      </c>
      <c r="U40" s="38"/>
      <c r="V40" s="38"/>
      <c r="W40" s="38" t="s">
        <v>41</v>
      </c>
      <c r="X40" s="38" t="s">
        <v>49</v>
      </c>
      <c r="Y40" s="38" t="s">
        <v>49</v>
      </c>
      <c r="Z40" s="38" t="s">
        <v>49</v>
      </c>
      <c r="AA40" s="38"/>
      <c r="AB40" s="38"/>
      <c r="AC40" s="38" t="s">
        <v>41</v>
      </c>
      <c r="AD40" s="38" t="s">
        <v>41</v>
      </c>
      <c r="AE40" s="38"/>
      <c r="AF40" s="38" t="s">
        <v>49</v>
      </c>
      <c r="AG40" s="38" t="s">
        <v>49</v>
      </c>
      <c r="AH40" s="38" t="s">
        <v>49</v>
      </c>
      <c r="AI40" s="8" t="n">
        <f aca="false">COUNTA(D40:AH40)</f>
        <v>18</v>
      </c>
      <c r="AJ40" s="39" t="n">
        <f aca="false">SUMPRODUCT((D40:AH40="Р")*$D$7:$AH$7)+SUMPRODUCT((D40:AH40="С")*$D$8:$AH$8)+SUMPRODUCT((D40:AH40="В")*$D$9:$AH$9)+SUMPRODUCT((D40:AH40="П")*$D$10:$AH$10)</f>
        <v>136.5</v>
      </c>
      <c r="AK40" s="8" t="n">
        <f aca="false">COLUMNS(D40:AH40)-AI40</f>
        <v>13</v>
      </c>
      <c r="AL40" s="8" t="n">
        <f aca="false">SUMPRODUCT((D40:AH40&lt;&gt;"")*(($D$5:$AH$5="Пт")+($D$5:$AH$5="Сб")))</f>
        <v>7</v>
      </c>
      <c r="AM40" s="26" t="n">
        <f aca="false">AJ40-Зміни!$C$19</f>
        <v>-39.5</v>
      </c>
    </row>
    <row r="41" customFormat="false" ht="15" hidden="false" customHeight="false" outlineLevel="0" collapsed="false">
      <c r="A41" s="8" t="n">
        <v>15</v>
      </c>
      <c r="B41" s="7" t="s">
        <v>102</v>
      </c>
      <c r="C41" s="37" t="s">
        <v>198</v>
      </c>
      <c r="D41" s="38"/>
      <c r="E41" s="38" t="s">
        <v>49</v>
      </c>
      <c r="F41" s="38" t="s">
        <v>49</v>
      </c>
      <c r="G41" s="38"/>
      <c r="H41" s="38"/>
      <c r="I41" s="38" t="s">
        <v>41</v>
      </c>
      <c r="J41" s="38" t="s">
        <v>41</v>
      </c>
      <c r="K41" s="38" t="s">
        <v>41</v>
      </c>
      <c r="L41" s="38" t="s">
        <v>41</v>
      </c>
      <c r="M41" s="38" t="s">
        <v>45</v>
      </c>
      <c r="N41" s="38"/>
      <c r="O41" s="38" t="s">
        <v>41</v>
      </c>
      <c r="P41" s="38" t="s">
        <v>49</v>
      </c>
      <c r="Q41" s="38"/>
      <c r="R41" s="38"/>
      <c r="S41" s="38" t="s">
        <v>49</v>
      </c>
      <c r="T41" s="38" t="s">
        <v>49</v>
      </c>
      <c r="U41" s="38" t="s">
        <v>49</v>
      </c>
      <c r="V41" s="38" t="s">
        <v>49</v>
      </c>
      <c r="W41" s="38"/>
      <c r="X41" s="38"/>
      <c r="Y41" s="38"/>
      <c r="Z41" s="38"/>
      <c r="AA41" s="38" t="s">
        <v>41</v>
      </c>
      <c r="AB41" s="38" t="s">
        <v>41</v>
      </c>
      <c r="AC41" s="38" t="s">
        <v>49</v>
      </c>
      <c r="AD41" s="38" t="s">
        <v>49</v>
      </c>
      <c r="AE41" s="38"/>
      <c r="AF41" s="38"/>
      <c r="AG41" s="38" t="s">
        <v>45</v>
      </c>
      <c r="AH41" s="38"/>
      <c r="AI41" s="8" t="n">
        <f aca="false">COUNTA(D41:AH41)</f>
        <v>18</v>
      </c>
      <c r="AJ41" s="39" t="n">
        <f aca="false">SUMPRODUCT((D41:AH41="Р")*$D$7:$AH$7)+SUMPRODUCT((D41:AH41="С")*$D$8:$AH$8)+SUMPRODUCT((D41:AH41="В")*$D$9:$AH$9)+SUMPRODUCT((D41:AH41="П")*$D$10:$AH$10)</f>
        <v>135.5</v>
      </c>
      <c r="AK41" s="8" t="n">
        <f aca="false">COLUMNS(D41:AH41)-AI41</f>
        <v>13</v>
      </c>
      <c r="AL41" s="8" t="n">
        <f aca="false">SUMPRODUCT((D41:AH41&lt;&gt;"")*(($D$5:$AH$5="Пт")+($D$5:$AH$5="Сб")))</f>
        <v>8</v>
      </c>
      <c r="AM41" s="26" t="n">
        <f aca="false">AJ41-Зміни!$C$19</f>
        <v>-40.5</v>
      </c>
    </row>
    <row r="42" customFormat="false" ht="15" hidden="false" customHeight="false" outlineLevel="0" collapsed="false">
      <c r="C42" s="35" t="s">
        <v>140</v>
      </c>
      <c r="D42" s="40" t="n">
        <f aca="false">COUNTIF(D$38:D$41,"Р")-INDEX(Норми!$C$12:$I$47,MATCH("Кухар холодного цеху|Р",Норми!$L$12:$L$47,0),MATCH(D$5,Норми!$C$11:$I$11,0))</f>
        <v>0</v>
      </c>
      <c r="E42" s="40" t="n">
        <f aca="false">COUNTIF(E$38:E$41,"Р")-INDEX(Норми!$C$12:$I$47,MATCH("Кухар холодного цеху|Р",Норми!$L$12:$L$47,0),MATCH(E$5,Норми!$C$11:$I$11,0))</f>
        <v>0</v>
      </c>
      <c r="F42" s="40" t="n">
        <f aca="false">COUNTIF(F$38:F$41,"Р")-INDEX(Норми!$C$12:$I$47,MATCH("Кухар холодного цеху|Р",Норми!$L$12:$L$47,0),MATCH(F$5,Норми!$C$11:$I$11,0))</f>
        <v>0</v>
      </c>
      <c r="G42" s="40" t="n">
        <f aca="false">COUNTIF(G$38:G$41,"Р")-INDEX(Норми!$C$12:$I$47,MATCH("Кухар холодного цеху|Р",Норми!$L$12:$L$47,0),MATCH(G$5,Норми!$C$11:$I$11,0))</f>
        <v>0</v>
      </c>
      <c r="H42" s="40" t="n">
        <f aca="false">COUNTIF(H$38:H$41,"Р")-INDEX(Норми!$C$12:$I$47,MATCH("Кухар холодного цеху|Р",Норми!$L$12:$L$47,0),MATCH(H$5,Норми!$C$11:$I$11,0))</f>
        <v>0</v>
      </c>
      <c r="I42" s="40" t="n">
        <f aca="false">COUNTIF(I$38:I$41,"Р")-INDEX(Норми!$C$12:$I$47,MATCH("Кухар холодного цеху|Р",Норми!$L$12:$L$47,0),MATCH(I$5,Норми!$C$11:$I$11,0))</f>
        <v>0</v>
      </c>
      <c r="J42" s="40" t="n">
        <f aca="false">COUNTIF(J$38:J$41,"Р")-INDEX(Норми!$C$12:$I$47,MATCH("Кухар холодного цеху|Р",Норми!$L$12:$L$47,0),MATCH(J$5,Норми!$C$11:$I$11,0))</f>
        <v>0</v>
      </c>
      <c r="K42" s="40" t="n">
        <f aca="false">COUNTIF(K$38:K$41,"Р")-INDEX(Норми!$C$12:$I$47,MATCH("Кухар холодного цеху|Р",Норми!$L$12:$L$47,0),MATCH(K$5,Норми!$C$11:$I$11,0))</f>
        <v>0</v>
      </c>
      <c r="L42" s="40" t="n">
        <f aca="false">COUNTIF(L$38:L$41,"Р")-INDEX(Норми!$C$12:$I$47,MATCH("Кухар холодного цеху|Р",Норми!$L$12:$L$47,0),MATCH(L$5,Норми!$C$11:$I$11,0))</f>
        <v>0</v>
      </c>
      <c r="M42" s="40" t="n">
        <f aca="false">COUNTIF(M$38:M$41,"Р")-INDEX(Норми!$C$12:$I$47,MATCH("Кухар холодного цеху|Р",Норми!$L$12:$L$47,0),MATCH(M$5,Норми!$C$11:$I$11,0))</f>
        <v>0</v>
      </c>
      <c r="N42" s="40" t="n">
        <f aca="false">COUNTIF(N$38:N$41,"Р")-INDEX(Норми!$C$12:$I$47,MATCH("Кухар холодного цеху|Р",Норми!$L$12:$L$47,0),MATCH(N$5,Норми!$C$11:$I$11,0))</f>
        <v>0</v>
      </c>
      <c r="O42" s="40" t="n">
        <f aca="false">COUNTIF(O$38:O$41,"Р")-INDEX(Норми!$C$12:$I$47,MATCH("Кухар холодного цеху|Р",Норми!$L$12:$L$47,0),MATCH(O$5,Норми!$C$11:$I$11,0))</f>
        <v>0</v>
      </c>
      <c r="P42" s="40" t="n">
        <f aca="false">COUNTIF(P$38:P$41,"Р")-INDEX(Норми!$C$12:$I$47,MATCH("Кухар холодного цеху|Р",Норми!$L$12:$L$47,0),MATCH(P$5,Норми!$C$11:$I$11,0))</f>
        <v>0</v>
      </c>
      <c r="Q42" s="40" t="n">
        <f aca="false">COUNTIF(Q$38:Q$41,"Р")-INDEX(Норми!$C$12:$I$47,MATCH("Кухар холодного цеху|Р",Норми!$L$12:$L$47,0),MATCH(Q$5,Норми!$C$11:$I$11,0))</f>
        <v>0</v>
      </c>
      <c r="R42" s="40" t="n">
        <f aca="false">COUNTIF(R$38:R$41,"Р")-INDEX(Норми!$C$12:$I$47,MATCH("Кухар холодного цеху|Р",Норми!$L$12:$L$47,0),MATCH(R$5,Норми!$C$11:$I$11,0))</f>
        <v>0</v>
      </c>
      <c r="S42" s="40" t="n">
        <f aca="false">COUNTIF(S$38:S$41,"Р")-INDEX(Норми!$C$12:$I$47,MATCH("Кухар холодного цеху|Р",Норми!$L$12:$L$47,0),MATCH(S$5,Норми!$C$11:$I$11,0))</f>
        <v>0</v>
      </c>
      <c r="T42" s="40" t="n">
        <f aca="false">COUNTIF(T$38:T$41,"Р")-INDEX(Норми!$C$12:$I$47,MATCH("Кухар холодного цеху|Р",Норми!$L$12:$L$47,0),MATCH(T$5,Норми!$C$11:$I$11,0))</f>
        <v>0</v>
      </c>
      <c r="U42" s="40" t="n">
        <f aca="false">COUNTIF(U$38:U$41,"Р")-INDEX(Норми!$C$12:$I$47,MATCH("Кухар холодного цеху|Р",Норми!$L$12:$L$47,0),MATCH(U$5,Норми!$C$11:$I$11,0))</f>
        <v>0</v>
      </c>
      <c r="V42" s="40" t="n">
        <f aca="false">COUNTIF(V$38:V$41,"Р")-INDEX(Норми!$C$12:$I$47,MATCH("Кухар холодного цеху|Р",Норми!$L$12:$L$47,0),MATCH(V$5,Норми!$C$11:$I$11,0))</f>
        <v>0</v>
      </c>
      <c r="W42" s="40" t="n">
        <f aca="false">COUNTIF(W$38:W$41,"Р")-INDEX(Норми!$C$12:$I$47,MATCH("Кухар холодного цеху|Р",Норми!$L$12:$L$47,0),MATCH(W$5,Норми!$C$11:$I$11,0))</f>
        <v>0</v>
      </c>
      <c r="X42" s="40" t="n">
        <f aca="false">COUNTIF(X$38:X$41,"Р")-INDEX(Норми!$C$12:$I$47,MATCH("Кухар холодного цеху|Р",Норми!$L$12:$L$47,0),MATCH(X$5,Норми!$C$11:$I$11,0))</f>
        <v>0</v>
      </c>
      <c r="Y42" s="40" t="n">
        <f aca="false">COUNTIF(Y$38:Y$41,"Р")-INDEX(Норми!$C$12:$I$47,MATCH("Кухар холодного цеху|Р",Норми!$L$12:$L$47,0),MATCH(Y$5,Норми!$C$11:$I$11,0))</f>
        <v>0</v>
      </c>
      <c r="Z42" s="40" t="n">
        <f aca="false">COUNTIF(Z$38:Z$41,"Р")-INDEX(Норми!$C$12:$I$47,MATCH("Кухар холодного цеху|Р",Норми!$L$12:$L$47,0),MATCH(Z$5,Норми!$C$11:$I$11,0))</f>
        <v>0</v>
      </c>
      <c r="AA42" s="40" t="n">
        <f aca="false">COUNTIF(AA$38:AA$41,"Р")-INDEX(Норми!$C$12:$I$47,MATCH("Кухар холодного цеху|Р",Норми!$L$12:$L$47,0),MATCH(AA$5,Норми!$C$11:$I$11,0))</f>
        <v>0</v>
      </c>
      <c r="AB42" s="40" t="n">
        <f aca="false">COUNTIF(AB$38:AB$41,"Р")-INDEX(Норми!$C$12:$I$47,MATCH("Кухар холодного цеху|Р",Норми!$L$12:$L$47,0),MATCH(AB$5,Норми!$C$11:$I$11,0))</f>
        <v>0</v>
      </c>
      <c r="AC42" s="40" t="n">
        <f aca="false">COUNTIF(AC$38:AC$41,"Р")-INDEX(Норми!$C$12:$I$47,MATCH("Кухар холодного цеху|Р",Норми!$L$12:$L$47,0),MATCH(AC$5,Норми!$C$11:$I$11,0))</f>
        <v>0</v>
      </c>
      <c r="AD42" s="40" t="n">
        <f aca="false">COUNTIF(AD$38:AD$41,"Р")-INDEX(Норми!$C$12:$I$47,MATCH("Кухар холодного цеху|Р",Норми!$L$12:$L$47,0),MATCH(AD$5,Норми!$C$11:$I$11,0))</f>
        <v>0</v>
      </c>
      <c r="AE42" s="40" t="n">
        <f aca="false">COUNTIF(AE$38:AE$41,"Р")-INDEX(Норми!$C$12:$I$47,MATCH("Кухар холодного цеху|Р",Норми!$L$12:$L$47,0),MATCH(AE$5,Норми!$C$11:$I$11,0))</f>
        <v>0</v>
      </c>
      <c r="AF42" s="40" t="n">
        <f aca="false">COUNTIF(AF$38:AF$41,"Р")-INDEX(Норми!$C$12:$I$47,MATCH("Кухар холодного цеху|Р",Норми!$L$12:$L$47,0),MATCH(AF$5,Норми!$C$11:$I$11,0))</f>
        <v>0</v>
      </c>
      <c r="AG42" s="40" t="n">
        <f aca="false">COUNTIF(AG$38:AG$41,"Р")-INDEX(Норми!$C$12:$I$47,MATCH("Кухар холодного цеху|Р",Норми!$L$12:$L$47,0),MATCH(AG$5,Норми!$C$11:$I$11,0))</f>
        <v>0</v>
      </c>
      <c r="AH42" s="40" t="n">
        <f aca="false">COUNTIF(AH$38:AH$41,"Р")-INDEX(Норми!$C$12:$I$47,MATCH("Кухар холодного цеху|Р",Норми!$L$12:$L$47,0),MATCH(AH$5,Норми!$C$11:$I$11,0))</f>
        <v>0</v>
      </c>
    </row>
    <row r="43" customFormat="false" ht="15" hidden="false" customHeight="false" outlineLevel="0" collapsed="false">
      <c r="C43" s="35" t="s">
        <v>147</v>
      </c>
      <c r="D43" s="40" t="n">
        <f aca="false">COUNTIF(D$38:D$41,"С")-INDEX(Норми!$C$12:$I$47,MATCH("Кухар холодного цеху|С",Норми!$L$12:$L$47,0),MATCH(D$5,Норми!$C$11:$I$11,0))</f>
        <v>0</v>
      </c>
      <c r="E43" s="40" t="n">
        <f aca="false">COUNTIF(E$38:E$41,"С")-INDEX(Норми!$C$12:$I$47,MATCH("Кухар холодного цеху|С",Норми!$L$12:$L$47,0),MATCH(E$5,Норми!$C$11:$I$11,0))</f>
        <v>0</v>
      </c>
      <c r="F43" s="40" t="n">
        <f aca="false">COUNTIF(F$38:F$41,"С")-INDEX(Норми!$C$12:$I$47,MATCH("Кухар холодного цеху|С",Норми!$L$12:$L$47,0),MATCH(F$5,Норми!$C$11:$I$11,0))</f>
        <v>0</v>
      </c>
      <c r="G43" s="40" t="n">
        <f aca="false">COUNTIF(G$38:G$41,"С")-INDEX(Норми!$C$12:$I$47,MATCH("Кухар холодного цеху|С",Норми!$L$12:$L$47,0),MATCH(G$5,Норми!$C$11:$I$11,0))</f>
        <v>0</v>
      </c>
      <c r="H43" s="40" t="n">
        <f aca="false">COUNTIF(H$38:H$41,"С")-INDEX(Норми!$C$12:$I$47,MATCH("Кухар холодного цеху|С",Норми!$L$12:$L$47,0),MATCH(H$5,Норми!$C$11:$I$11,0))</f>
        <v>0</v>
      </c>
      <c r="I43" s="40" t="n">
        <f aca="false">COUNTIF(I$38:I$41,"С")-INDEX(Норми!$C$12:$I$47,MATCH("Кухар холодного цеху|С",Норми!$L$12:$L$47,0),MATCH(I$5,Норми!$C$11:$I$11,0))</f>
        <v>0</v>
      </c>
      <c r="J43" s="40" t="n">
        <f aca="false">COUNTIF(J$38:J$41,"С")-INDEX(Норми!$C$12:$I$47,MATCH("Кухар холодного цеху|С",Норми!$L$12:$L$47,0),MATCH(J$5,Норми!$C$11:$I$11,0))</f>
        <v>0</v>
      </c>
      <c r="K43" s="40" t="n">
        <f aca="false">COUNTIF(K$38:K$41,"С")-INDEX(Норми!$C$12:$I$47,MATCH("Кухар холодного цеху|С",Норми!$L$12:$L$47,0),MATCH(K$5,Норми!$C$11:$I$11,0))</f>
        <v>0</v>
      </c>
      <c r="L43" s="40" t="n">
        <f aca="false">COUNTIF(L$38:L$41,"С")-INDEX(Норми!$C$12:$I$47,MATCH("Кухар холодного цеху|С",Норми!$L$12:$L$47,0),MATCH(L$5,Норми!$C$11:$I$11,0))</f>
        <v>0</v>
      </c>
      <c r="M43" s="40" t="n">
        <f aca="false">COUNTIF(M$38:M$41,"С")-INDEX(Норми!$C$12:$I$47,MATCH("Кухар холодного цеху|С",Норми!$L$12:$L$47,0),MATCH(M$5,Норми!$C$11:$I$11,0))</f>
        <v>0</v>
      </c>
      <c r="N43" s="40" t="n">
        <f aca="false">COUNTIF(N$38:N$41,"С")-INDEX(Норми!$C$12:$I$47,MATCH("Кухар холодного цеху|С",Норми!$L$12:$L$47,0),MATCH(N$5,Норми!$C$11:$I$11,0))</f>
        <v>0</v>
      </c>
      <c r="O43" s="40" t="n">
        <f aca="false">COUNTIF(O$38:O$41,"С")-INDEX(Норми!$C$12:$I$47,MATCH("Кухар холодного цеху|С",Норми!$L$12:$L$47,0),MATCH(O$5,Норми!$C$11:$I$11,0))</f>
        <v>0</v>
      </c>
      <c r="P43" s="40" t="n">
        <f aca="false">COUNTIF(P$38:P$41,"С")-INDEX(Норми!$C$12:$I$47,MATCH("Кухар холодного цеху|С",Норми!$L$12:$L$47,0),MATCH(P$5,Норми!$C$11:$I$11,0))</f>
        <v>0</v>
      </c>
      <c r="Q43" s="40" t="n">
        <f aca="false">COUNTIF(Q$38:Q$41,"С")-INDEX(Норми!$C$12:$I$47,MATCH("Кухар холодного цеху|С",Норми!$L$12:$L$47,0),MATCH(Q$5,Норми!$C$11:$I$11,0))</f>
        <v>0</v>
      </c>
      <c r="R43" s="40" t="n">
        <f aca="false">COUNTIF(R$38:R$41,"С")-INDEX(Норми!$C$12:$I$47,MATCH("Кухар холодного цеху|С",Норми!$L$12:$L$47,0),MATCH(R$5,Норми!$C$11:$I$11,0))</f>
        <v>0</v>
      </c>
      <c r="S43" s="40" t="n">
        <f aca="false">COUNTIF(S$38:S$41,"С")-INDEX(Норми!$C$12:$I$47,MATCH("Кухар холодного цеху|С",Норми!$L$12:$L$47,0),MATCH(S$5,Норми!$C$11:$I$11,0))</f>
        <v>0</v>
      </c>
      <c r="T43" s="40" t="n">
        <f aca="false">COUNTIF(T$38:T$41,"С")-INDEX(Норми!$C$12:$I$47,MATCH("Кухар холодного цеху|С",Норми!$L$12:$L$47,0),MATCH(T$5,Норми!$C$11:$I$11,0))</f>
        <v>0</v>
      </c>
      <c r="U43" s="40" t="n">
        <f aca="false">COUNTIF(U$38:U$41,"С")-INDEX(Норми!$C$12:$I$47,MATCH("Кухар холодного цеху|С",Норми!$L$12:$L$47,0),MATCH(U$5,Норми!$C$11:$I$11,0))</f>
        <v>0</v>
      </c>
      <c r="V43" s="40" t="n">
        <f aca="false">COUNTIF(V$38:V$41,"С")-INDEX(Норми!$C$12:$I$47,MATCH("Кухар холодного цеху|С",Норми!$L$12:$L$47,0),MATCH(V$5,Норми!$C$11:$I$11,0))</f>
        <v>0</v>
      </c>
      <c r="W43" s="40" t="n">
        <f aca="false">COUNTIF(W$38:W$41,"С")-INDEX(Норми!$C$12:$I$47,MATCH("Кухар холодного цеху|С",Норми!$L$12:$L$47,0),MATCH(W$5,Норми!$C$11:$I$11,0))</f>
        <v>0</v>
      </c>
      <c r="X43" s="40" t="n">
        <f aca="false">COUNTIF(X$38:X$41,"С")-INDEX(Норми!$C$12:$I$47,MATCH("Кухар холодного цеху|С",Норми!$L$12:$L$47,0),MATCH(X$5,Норми!$C$11:$I$11,0))</f>
        <v>0</v>
      </c>
      <c r="Y43" s="40" t="n">
        <f aca="false">COUNTIF(Y$38:Y$41,"С")-INDEX(Норми!$C$12:$I$47,MATCH("Кухар холодного цеху|С",Норми!$L$12:$L$47,0),MATCH(Y$5,Норми!$C$11:$I$11,0))</f>
        <v>0</v>
      </c>
      <c r="Z43" s="40" t="n">
        <f aca="false">COUNTIF(Z$38:Z$41,"С")-INDEX(Норми!$C$12:$I$47,MATCH("Кухар холодного цеху|С",Норми!$L$12:$L$47,0),MATCH(Z$5,Норми!$C$11:$I$11,0))</f>
        <v>0</v>
      </c>
      <c r="AA43" s="40" t="n">
        <f aca="false">COUNTIF(AA$38:AA$41,"С")-INDEX(Норми!$C$12:$I$47,MATCH("Кухар холодного цеху|С",Норми!$L$12:$L$47,0),MATCH(AA$5,Норми!$C$11:$I$11,0))</f>
        <v>0</v>
      </c>
      <c r="AB43" s="40" t="n">
        <f aca="false">COUNTIF(AB$38:AB$41,"С")-INDEX(Норми!$C$12:$I$47,MATCH("Кухар холодного цеху|С",Норми!$L$12:$L$47,0),MATCH(AB$5,Норми!$C$11:$I$11,0))</f>
        <v>0</v>
      </c>
      <c r="AC43" s="40" t="n">
        <f aca="false">COUNTIF(AC$38:AC$41,"С")-INDEX(Норми!$C$12:$I$47,MATCH("Кухар холодного цеху|С",Норми!$L$12:$L$47,0),MATCH(AC$5,Норми!$C$11:$I$11,0))</f>
        <v>0</v>
      </c>
      <c r="AD43" s="40" t="n">
        <f aca="false">COUNTIF(AD$38:AD$41,"С")-INDEX(Норми!$C$12:$I$47,MATCH("Кухар холодного цеху|С",Норми!$L$12:$L$47,0),MATCH(AD$5,Норми!$C$11:$I$11,0))</f>
        <v>0</v>
      </c>
      <c r="AE43" s="40" t="n">
        <f aca="false">COUNTIF(AE$38:AE$41,"С")-INDEX(Норми!$C$12:$I$47,MATCH("Кухар холодного цеху|С",Норми!$L$12:$L$47,0),MATCH(AE$5,Норми!$C$11:$I$11,0))</f>
        <v>0</v>
      </c>
      <c r="AF43" s="40" t="n">
        <f aca="false">COUNTIF(AF$38:AF$41,"С")-INDEX(Норми!$C$12:$I$47,MATCH("Кухар холодного цеху|С",Норми!$L$12:$L$47,0),MATCH(AF$5,Норми!$C$11:$I$11,0))</f>
        <v>0</v>
      </c>
      <c r="AG43" s="40" t="n">
        <f aca="false">COUNTIF(AG$38:AG$41,"С")-INDEX(Норми!$C$12:$I$47,MATCH("Кухар холодного цеху|С",Норми!$L$12:$L$47,0),MATCH(AG$5,Норми!$C$11:$I$11,0))</f>
        <v>0</v>
      </c>
      <c r="AH43" s="40" t="n">
        <f aca="false">COUNTIF(AH$38:AH$41,"С")-INDEX(Норми!$C$12:$I$47,MATCH("Кухар холодного цеху|С",Норми!$L$12:$L$47,0),MATCH(AH$5,Норми!$C$11:$I$11,0))</f>
        <v>0</v>
      </c>
    </row>
    <row r="44" customFormat="false" ht="15" hidden="false" customHeight="false" outlineLevel="0" collapsed="false">
      <c r="C44" s="35" t="s">
        <v>141</v>
      </c>
      <c r="D44" s="40" t="n">
        <f aca="false">COUNTIF(D$38:D$41,"В")-INDEX(Норми!$C$12:$I$47,MATCH("Кухар холодного цеху|В",Норми!$L$12:$L$47,0),MATCH(D$5,Норми!$C$11:$I$11,0))</f>
        <v>0</v>
      </c>
      <c r="E44" s="40" t="n">
        <f aca="false">COUNTIF(E$38:E$41,"В")-INDEX(Норми!$C$12:$I$47,MATCH("Кухар холодного цеху|В",Норми!$L$12:$L$47,0),MATCH(E$5,Норми!$C$11:$I$11,0))</f>
        <v>0</v>
      </c>
      <c r="F44" s="40" t="n">
        <f aca="false">COUNTIF(F$38:F$41,"В")-INDEX(Норми!$C$12:$I$47,MATCH("Кухар холодного цеху|В",Норми!$L$12:$L$47,0),MATCH(F$5,Норми!$C$11:$I$11,0))</f>
        <v>0</v>
      </c>
      <c r="G44" s="40" t="n">
        <f aca="false">COUNTIF(G$38:G$41,"В")-INDEX(Норми!$C$12:$I$47,MATCH("Кухар холодного цеху|В",Норми!$L$12:$L$47,0),MATCH(G$5,Норми!$C$11:$I$11,0))</f>
        <v>0</v>
      </c>
      <c r="H44" s="40" t="n">
        <f aca="false">COUNTIF(H$38:H$41,"В")-INDEX(Норми!$C$12:$I$47,MATCH("Кухар холодного цеху|В",Норми!$L$12:$L$47,0),MATCH(H$5,Норми!$C$11:$I$11,0))</f>
        <v>0</v>
      </c>
      <c r="I44" s="40" t="n">
        <f aca="false">COUNTIF(I$38:I$41,"В")-INDEX(Норми!$C$12:$I$47,MATCH("Кухар холодного цеху|В",Норми!$L$12:$L$47,0),MATCH(I$5,Норми!$C$11:$I$11,0))</f>
        <v>0</v>
      </c>
      <c r="J44" s="40" t="n">
        <f aca="false">COUNTIF(J$38:J$41,"В")-INDEX(Норми!$C$12:$I$47,MATCH("Кухар холодного цеху|В",Норми!$L$12:$L$47,0),MATCH(J$5,Норми!$C$11:$I$11,0))</f>
        <v>0</v>
      </c>
      <c r="K44" s="40" t="n">
        <f aca="false">COUNTIF(K$38:K$41,"В")-INDEX(Норми!$C$12:$I$47,MATCH("Кухар холодного цеху|В",Норми!$L$12:$L$47,0),MATCH(K$5,Норми!$C$11:$I$11,0))</f>
        <v>0</v>
      </c>
      <c r="L44" s="40" t="n">
        <f aca="false">COUNTIF(L$38:L$41,"В")-INDEX(Норми!$C$12:$I$47,MATCH("Кухар холодного цеху|В",Норми!$L$12:$L$47,0),MATCH(L$5,Норми!$C$11:$I$11,0))</f>
        <v>0</v>
      </c>
      <c r="M44" s="40" t="n">
        <f aca="false">COUNTIF(M$38:M$41,"В")-INDEX(Норми!$C$12:$I$47,MATCH("Кухар холодного цеху|В",Норми!$L$12:$L$47,0),MATCH(M$5,Норми!$C$11:$I$11,0))</f>
        <v>0</v>
      </c>
      <c r="N44" s="40" t="n">
        <f aca="false">COUNTIF(N$38:N$41,"В")-INDEX(Норми!$C$12:$I$47,MATCH("Кухар холодного цеху|В",Норми!$L$12:$L$47,0),MATCH(N$5,Норми!$C$11:$I$11,0))</f>
        <v>0</v>
      </c>
      <c r="O44" s="40" t="n">
        <f aca="false">COUNTIF(O$38:O$41,"В")-INDEX(Норми!$C$12:$I$47,MATCH("Кухар холодного цеху|В",Норми!$L$12:$L$47,0),MATCH(O$5,Норми!$C$11:$I$11,0))</f>
        <v>0</v>
      </c>
      <c r="P44" s="40" t="n">
        <f aca="false">COUNTIF(P$38:P$41,"В")-INDEX(Норми!$C$12:$I$47,MATCH("Кухар холодного цеху|В",Норми!$L$12:$L$47,0),MATCH(P$5,Норми!$C$11:$I$11,0))</f>
        <v>0</v>
      </c>
      <c r="Q44" s="40" t="n">
        <f aca="false">COUNTIF(Q$38:Q$41,"В")-INDEX(Норми!$C$12:$I$47,MATCH("Кухар холодного цеху|В",Норми!$L$12:$L$47,0),MATCH(Q$5,Норми!$C$11:$I$11,0))</f>
        <v>0</v>
      </c>
      <c r="R44" s="40" t="n">
        <f aca="false">COUNTIF(R$38:R$41,"В")-INDEX(Норми!$C$12:$I$47,MATCH("Кухар холодного цеху|В",Норми!$L$12:$L$47,0),MATCH(R$5,Норми!$C$11:$I$11,0))</f>
        <v>0</v>
      </c>
      <c r="S44" s="40" t="n">
        <f aca="false">COUNTIF(S$38:S$41,"В")-INDEX(Норми!$C$12:$I$47,MATCH("Кухар холодного цеху|В",Норми!$L$12:$L$47,0),MATCH(S$5,Норми!$C$11:$I$11,0))</f>
        <v>0</v>
      </c>
      <c r="T44" s="40" t="n">
        <f aca="false">COUNTIF(T$38:T$41,"В")-INDEX(Норми!$C$12:$I$47,MATCH("Кухар холодного цеху|В",Норми!$L$12:$L$47,0),MATCH(T$5,Норми!$C$11:$I$11,0))</f>
        <v>0</v>
      </c>
      <c r="U44" s="40" t="n">
        <f aca="false">COUNTIF(U$38:U$41,"В")-INDEX(Норми!$C$12:$I$47,MATCH("Кухар холодного цеху|В",Норми!$L$12:$L$47,0),MATCH(U$5,Норми!$C$11:$I$11,0))</f>
        <v>0</v>
      </c>
      <c r="V44" s="40" t="n">
        <f aca="false">COUNTIF(V$38:V$41,"В")-INDEX(Норми!$C$12:$I$47,MATCH("Кухар холодного цеху|В",Норми!$L$12:$L$47,0),MATCH(V$5,Норми!$C$11:$I$11,0))</f>
        <v>0</v>
      </c>
      <c r="W44" s="40" t="n">
        <f aca="false">COUNTIF(W$38:W$41,"В")-INDEX(Норми!$C$12:$I$47,MATCH("Кухар холодного цеху|В",Норми!$L$12:$L$47,0),MATCH(W$5,Норми!$C$11:$I$11,0))</f>
        <v>0</v>
      </c>
      <c r="X44" s="40" t="n">
        <f aca="false">COUNTIF(X$38:X$41,"В")-INDEX(Норми!$C$12:$I$47,MATCH("Кухар холодного цеху|В",Норми!$L$12:$L$47,0),MATCH(X$5,Норми!$C$11:$I$11,0))</f>
        <v>0</v>
      </c>
      <c r="Y44" s="40" t="n">
        <f aca="false">COUNTIF(Y$38:Y$41,"В")-INDEX(Норми!$C$12:$I$47,MATCH("Кухар холодного цеху|В",Норми!$L$12:$L$47,0),MATCH(Y$5,Норми!$C$11:$I$11,0))</f>
        <v>0</v>
      </c>
      <c r="Z44" s="40" t="n">
        <f aca="false">COUNTIF(Z$38:Z$41,"В")-INDEX(Норми!$C$12:$I$47,MATCH("Кухар холодного цеху|В",Норми!$L$12:$L$47,0),MATCH(Z$5,Норми!$C$11:$I$11,0))</f>
        <v>0</v>
      </c>
      <c r="AA44" s="40" t="n">
        <f aca="false">COUNTIF(AA$38:AA$41,"В")-INDEX(Норми!$C$12:$I$47,MATCH("Кухар холодного цеху|В",Норми!$L$12:$L$47,0),MATCH(AA$5,Норми!$C$11:$I$11,0))</f>
        <v>0</v>
      </c>
      <c r="AB44" s="40" t="n">
        <f aca="false">COUNTIF(AB$38:AB$41,"В")-INDEX(Норми!$C$12:$I$47,MATCH("Кухар холодного цеху|В",Норми!$L$12:$L$47,0),MATCH(AB$5,Норми!$C$11:$I$11,0))</f>
        <v>0</v>
      </c>
      <c r="AC44" s="40" t="n">
        <f aca="false">COUNTIF(AC$38:AC$41,"В")-INDEX(Норми!$C$12:$I$47,MATCH("Кухар холодного цеху|В",Норми!$L$12:$L$47,0),MATCH(AC$5,Норми!$C$11:$I$11,0))</f>
        <v>0</v>
      </c>
      <c r="AD44" s="40" t="n">
        <f aca="false">COUNTIF(AD$38:AD$41,"В")-INDEX(Норми!$C$12:$I$47,MATCH("Кухар холодного цеху|В",Норми!$L$12:$L$47,0),MATCH(AD$5,Норми!$C$11:$I$11,0))</f>
        <v>0</v>
      </c>
      <c r="AE44" s="40" t="n">
        <f aca="false">COUNTIF(AE$38:AE$41,"В")-INDEX(Норми!$C$12:$I$47,MATCH("Кухар холодного цеху|В",Норми!$L$12:$L$47,0),MATCH(AE$5,Норми!$C$11:$I$11,0))</f>
        <v>0</v>
      </c>
      <c r="AF44" s="40" t="n">
        <f aca="false">COUNTIF(AF$38:AF$41,"В")-INDEX(Норми!$C$12:$I$47,MATCH("Кухар холодного цеху|В",Норми!$L$12:$L$47,0),MATCH(AF$5,Норми!$C$11:$I$11,0))</f>
        <v>0</v>
      </c>
      <c r="AG44" s="40" t="n">
        <f aca="false">COUNTIF(AG$38:AG$41,"В")-INDEX(Норми!$C$12:$I$47,MATCH("Кухар холодного цеху|В",Норми!$L$12:$L$47,0),MATCH(AG$5,Норми!$C$11:$I$11,0))</f>
        <v>0</v>
      </c>
      <c r="AH44" s="40" t="n">
        <f aca="false">COUNTIF(AH$38:AH$41,"В")-INDEX(Норми!$C$12:$I$47,MATCH("Кухар холодного цеху|В",Норми!$L$12:$L$47,0),MATCH(AH$5,Норми!$C$11:$I$11,0))</f>
        <v>0</v>
      </c>
    </row>
    <row r="46" customFormat="false" ht="15" hidden="false" customHeight="false" outlineLevel="0" collapsed="false">
      <c r="A46" s="21" t="s">
        <v>199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</row>
    <row r="47" customFormat="false" ht="15" hidden="false" customHeight="false" outlineLevel="0" collapsed="false">
      <c r="A47" s="8" t="n">
        <v>16</v>
      </c>
      <c r="B47" s="7" t="s">
        <v>103</v>
      </c>
      <c r="C47" s="37" t="s">
        <v>200</v>
      </c>
      <c r="D47" s="38"/>
      <c r="E47" s="38"/>
      <c r="F47" s="38"/>
      <c r="G47" s="38"/>
      <c r="H47" s="38" t="s">
        <v>41</v>
      </c>
      <c r="I47" s="38" t="s">
        <v>41</v>
      </c>
      <c r="J47" s="38"/>
      <c r="K47" s="38"/>
      <c r="L47" s="38" t="s">
        <v>41</v>
      </c>
      <c r="M47" s="38" t="s">
        <v>41</v>
      </c>
      <c r="N47" s="38" t="s">
        <v>41</v>
      </c>
      <c r="O47" s="38" t="s">
        <v>41</v>
      </c>
      <c r="P47" s="38"/>
      <c r="Q47" s="38"/>
      <c r="R47" s="38" t="s">
        <v>41</v>
      </c>
      <c r="S47" s="38" t="s">
        <v>41</v>
      </c>
      <c r="T47" s="38"/>
      <c r="U47" s="38"/>
      <c r="V47" s="38" t="s">
        <v>41</v>
      </c>
      <c r="W47" s="38" t="s">
        <v>41</v>
      </c>
      <c r="X47" s="38" t="s">
        <v>41</v>
      </c>
      <c r="Y47" s="38"/>
      <c r="Z47" s="38"/>
      <c r="AA47" s="38"/>
      <c r="AB47" s="38" t="s">
        <v>41</v>
      </c>
      <c r="AC47" s="38" t="s">
        <v>41</v>
      </c>
      <c r="AD47" s="38" t="s">
        <v>41</v>
      </c>
      <c r="AE47" s="38"/>
      <c r="AF47" s="38"/>
      <c r="AG47" s="38" t="s">
        <v>41</v>
      </c>
      <c r="AH47" s="38" t="s">
        <v>41</v>
      </c>
      <c r="AI47" s="8" t="n">
        <f aca="false">COUNTA(D47:AH47)</f>
        <v>16</v>
      </c>
      <c r="AJ47" s="39" t="n">
        <f aca="false">SUMPRODUCT((D47:AH47="Р")*$D$7:$AH$7)+SUMPRODUCT((D47:AH47="С")*$D$8:$AH$8)+SUMPRODUCT((D47:AH47="В")*$D$9:$AH$9)+SUMPRODUCT((D47:AH47="П")*$D$10:$AH$10)</f>
        <v>120</v>
      </c>
      <c r="AK47" s="8" t="n">
        <f aca="false">COLUMNS(D47:AH47)-AI47</f>
        <v>15</v>
      </c>
      <c r="AL47" s="8" t="n">
        <f aca="false">SUMPRODUCT((D47:AH47&lt;&gt;"")*(($D$5:$AH$5="Пт")+($D$5:$AH$5="Сб")))</f>
        <v>5</v>
      </c>
      <c r="AM47" s="26" t="n">
        <f aca="false">AJ47-Зміни!$C$19</f>
        <v>-56</v>
      </c>
    </row>
    <row r="48" customFormat="false" ht="15" hidden="false" customHeight="false" outlineLevel="0" collapsed="false">
      <c r="A48" s="8" t="n">
        <v>17</v>
      </c>
      <c r="B48" s="7" t="s">
        <v>103</v>
      </c>
      <c r="C48" s="37" t="s">
        <v>201</v>
      </c>
      <c r="D48" s="38" t="s">
        <v>41</v>
      </c>
      <c r="E48" s="38" t="s">
        <v>41</v>
      </c>
      <c r="F48" s="38" t="s">
        <v>41</v>
      </c>
      <c r="G48" s="38" t="s">
        <v>41</v>
      </c>
      <c r="H48" s="38"/>
      <c r="I48" s="38"/>
      <c r="J48" s="38" t="s">
        <v>41</v>
      </c>
      <c r="K48" s="38" t="s">
        <v>41</v>
      </c>
      <c r="L48" s="38"/>
      <c r="M48" s="38"/>
      <c r="N48" s="38"/>
      <c r="O48" s="38"/>
      <c r="P48" s="38" t="s">
        <v>41</v>
      </c>
      <c r="Q48" s="38" t="s">
        <v>41</v>
      </c>
      <c r="R48" s="38"/>
      <c r="S48" s="38"/>
      <c r="T48" s="38" t="s">
        <v>41</v>
      </c>
      <c r="U48" s="38" t="s">
        <v>41</v>
      </c>
      <c r="V48" s="38"/>
      <c r="W48" s="38"/>
      <c r="X48" s="38"/>
      <c r="Y48" s="38" t="s">
        <v>41</v>
      </c>
      <c r="Z48" s="38" t="s">
        <v>41</v>
      </c>
      <c r="AA48" s="38" t="s">
        <v>41</v>
      </c>
      <c r="AB48" s="38"/>
      <c r="AC48" s="38"/>
      <c r="AD48" s="38"/>
      <c r="AE48" s="38" t="s">
        <v>41</v>
      </c>
      <c r="AF48" s="38" t="s">
        <v>41</v>
      </c>
      <c r="AG48" s="38"/>
      <c r="AH48" s="38"/>
      <c r="AI48" s="8" t="n">
        <f aca="false">COUNTA(D48:AH48)</f>
        <v>15</v>
      </c>
      <c r="AJ48" s="39" t="n">
        <f aca="false">SUMPRODUCT((D48:AH48="Р")*$D$7:$AH$7)+SUMPRODUCT((D48:AH48="С")*$D$8:$AH$8)+SUMPRODUCT((D48:AH48="В")*$D$9:$AH$9)+SUMPRODUCT((D48:AH48="П")*$D$10:$AH$10)</f>
        <v>112.5</v>
      </c>
      <c r="AK48" s="8" t="n">
        <f aca="false">COLUMNS(D48:AH48)-AI48</f>
        <v>16</v>
      </c>
      <c r="AL48" s="8" t="n">
        <f aca="false">SUMPRODUCT((D48:AH48&lt;&gt;"")*(($D$5:$AH$5="Пт")+($D$5:$AH$5="Сб")))</f>
        <v>5</v>
      </c>
      <c r="AM48" s="26" t="n">
        <f aca="false">AJ48-Зміни!$C$19</f>
        <v>-63.5</v>
      </c>
    </row>
    <row r="49" customFormat="false" ht="15" hidden="false" customHeight="false" outlineLevel="0" collapsed="false">
      <c r="C49" s="35" t="s">
        <v>140</v>
      </c>
      <c r="D49" s="40" t="n">
        <f aca="false">COUNTIF(D$47:D$48,"Р")-INDEX(Норми!$C$12:$I$47,MATCH("Кондитер|Р",Норми!$L$12:$L$47,0),MATCH(D$5,Норми!$C$11:$I$11,0))</f>
        <v>0</v>
      </c>
      <c r="E49" s="40" t="n">
        <f aca="false">COUNTIF(E$47:E$48,"Р")-INDEX(Норми!$C$12:$I$47,MATCH("Кондитер|Р",Норми!$L$12:$L$47,0),MATCH(E$5,Норми!$C$11:$I$11,0))</f>
        <v>0</v>
      </c>
      <c r="F49" s="40" t="n">
        <f aca="false">COUNTIF(F$47:F$48,"Р")-INDEX(Норми!$C$12:$I$47,MATCH("Кондитер|Р",Норми!$L$12:$L$47,0),MATCH(F$5,Норми!$C$11:$I$11,0))</f>
        <v>0</v>
      </c>
      <c r="G49" s="40" t="n">
        <f aca="false">COUNTIF(G$47:G$48,"Р")-INDEX(Норми!$C$12:$I$47,MATCH("Кондитер|Р",Норми!$L$12:$L$47,0),MATCH(G$5,Норми!$C$11:$I$11,0))</f>
        <v>0</v>
      </c>
      <c r="H49" s="40" t="n">
        <f aca="false">COUNTIF(H$47:H$48,"Р")-INDEX(Норми!$C$12:$I$47,MATCH("Кондитер|Р",Норми!$L$12:$L$47,0),MATCH(H$5,Норми!$C$11:$I$11,0))</f>
        <v>0</v>
      </c>
      <c r="I49" s="40" t="n">
        <f aca="false">COUNTIF(I$47:I$48,"Р")-INDEX(Норми!$C$12:$I$47,MATCH("Кондитер|Р",Норми!$L$12:$L$47,0),MATCH(I$5,Норми!$C$11:$I$11,0))</f>
        <v>0</v>
      </c>
      <c r="J49" s="40" t="n">
        <f aca="false">COUNTIF(J$47:J$48,"Р")-INDEX(Норми!$C$12:$I$47,MATCH("Кондитер|Р",Норми!$L$12:$L$47,0),MATCH(J$5,Норми!$C$11:$I$11,0))</f>
        <v>0</v>
      </c>
      <c r="K49" s="40" t="n">
        <f aca="false">COUNTIF(K$47:K$48,"Р")-INDEX(Норми!$C$12:$I$47,MATCH("Кондитер|Р",Норми!$L$12:$L$47,0),MATCH(K$5,Норми!$C$11:$I$11,0))</f>
        <v>0</v>
      </c>
      <c r="L49" s="40" t="n">
        <f aca="false">COUNTIF(L$47:L$48,"Р")-INDEX(Норми!$C$12:$I$47,MATCH("Кондитер|Р",Норми!$L$12:$L$47,0),MATCH(L$5,Норми!$C$11:$I$11,0))</f>
        <v>0</v>
      </c>
      <c r="M49" s="40" t="n">
        <f aca="false">COUNTIF(M$47:M$48,"Р")-INDEX(Норми!$C$12:$I$47,MATCH("Кондитер|Р",Норми!$L$12:$L$47,0),MATCH(M$5,Норми!$C$11:$I$11,0))</f>
        <v>0</v>
      </c>
      <c r="N49" s="40" t="n">
        <f aca="false">COUNTIF(N$47:N$48,"Р")-INDEX(Норми!$C$12:$I$47,MATCH("Кондитер|Р",Норми!$L$12:$L$47,0),MATCH(N$5,Норми!$C$11:$I$11,0))</f>
        <v>0</v>
      </c>
      <c r="O49" s="40" t="n">
        <f aca="false">COUNTIF(O$47:O$48,"Р")-INDEX(Норми!$C$12:$I$47,MATCH("Кондитер|Р",Норми!$L$12:$L$47,0),MATCH(O$5,Норми!$C$11:$I$11,0))</f>
        <v>0</v>
      </c>
      <c r="P49" s="40" t="n">
        <f aca="false">COUNTIF(P$47:P$48,"Р")-INDEX(Норми!$C$12:$I$47,MATCH("Кондитер|Р",Норми!$L$12:$L$47,0),MATCH(P$5,Норми!$C$11:$I$11,0))</f>
        <v>0</v>
      </c>
      <c r="Q49" s="40" t="n">
        <f aca="false">COUNTIF(Q$47:Q$48,"Р")-INDEX(Норми!$C$12:$I$47,MATCH("Кондитер|Р",Норми!$L$12:$L$47,0),MATCH(Q$5,Норми!$C$11:$I$11,0))</f>
        <v>0</v>
      </c>
      <c r="R49" s="40" t="n">
        <f aca="false">COUNTIF(R$47:R$48,"Р")-INDEX(Норми!$C$12:$I$47,MATCH("Кондитер|Р",Норми!$L$12:$L$47,0),MATCH(R$5,Норми!$C$11:$I$11,0))</f>
        <v>0</v>
      </c>
      <c r="S49" s="40" t="n">
        <f aca="false">COUNTIF(S$47:S$48,"Р")-INDEX(Норми!$C$12:$I$47,MATCH("Кондитер|Р",Норми!$L$12:$L$47,0),MATCH(S$5,Норми!$C$11:$I$11,0))</f>
        <v>0</v>
      </c>
      <c r="T49" s="40" t="n">
        <f aca="false">COUNTIF(T$47:T$48,"Р")-INDEX(Норми!$C$12:$I$47,MATCH("Кондитер|Р",Норми!$L$12:$L$47,0),MATCH(T$5,Норми!$C$11:$I$11,0))</f>
        <v>0</v>
      </c>
      <c r="U49" s="40" t="n">
        <f aca="false">COUNTIF(U$47:U$48,"Р")-INDEX(Норми!$C$12:$I$47,MATCH("Кондитер|Р",Норми!$L$12:$L$47,0),MATCH(U$5,Норми!$C$11:$I$11,0))</f>
        <v>0</v>
      </c>
      <c r="V49" s="40" t="n">
        <f aca="false">COUNTIF(V$47:V$48,"Р")-INDEX(Норми!$C$12:$I$47,MATCH("Кондитер|Р",Норми!$L$12:$L$47,0),MATCH(V$5,Норми!$C$11:$I$11,0))</f>
        <v>0</v>
      </c>
      <c r="W49" s="40" t="n">
        <f aca="false">COUNTIF(W$47:W$48,"Р")-INDEX(Норми!$C$12:$I$47,MATCH("Кондитер|Р",Норми!$L$12:$L$47,0),MATCH(W$5,Норми!$C$11:$I$11,0))</f>
        <v>0</v>
      </c>
      <c r="X49" s="40" t="n">
        <f aca="false">COUNTIF(X$47:X$48,"Р")-INDEX(Норми!$C$12:$I$47,MATCH("Кондитер|Р",Норми!$L$12:$L$47,0),MATCH(X$5,Норми!$C$11:$I$11,0))</f>
        <v>0</v>
      </c>
      <c r="Y49" s="40" t="n">
        <f aca="false">COUNTIF(Y$47:Y$48,"Р")-INDEX(Норми!$C$12:$I$47,MATCH("Кондитер|Р",Норми!$L$12:$L$47,0),MATCH(Y$5,Норми!$C$11:$I$11,0))</f>
        <v>0</v>
      </c>
      <c r="Z49" s="40" t="n">
        <f aca="false">COUNTIF(Z$47:Z$48,"Р")-INDEX(Норми!$C$12:$I$47,MATCH("Кондитер|Р",Норми!$L$12:$L$47,0),MATCH(Z$5,Норми!$C$11:$I$11,0))</f>
        <v>0</v>
      </c>
      <c r="AA49" s="40" t="n">
        <f aca="false">COUNTIF(AA$47:AA$48,"Р")-INDEX(Норми!$C$12:$I$47,MATCH("Кондитер|Р",Норми!$L$12:$L$47,0),MATCH(AA$5,Норми!$C$11:$I$11,0))</f>
        <v>0</v>
      </c>
      <c r="AB49" s="40" t="n">
        <f aca="false">COUNTIF(AB$47:AB$48,"Р")-INDEX(Норми!$C$12:$I$47,MATCH("Кондитер|Р",Норми!$L$12:$L$47,0),MATCH(AB$5,Норми!$C$11:$I$11,0))</f>
        <v>0</v>
      </c>
      <c r="AC49" s="40" t="n">
        <f aca="false">COUNTIF(AC$47:AC$48,"Р")-INDEX(Норми!$C$12:$I$47,MATCH("Кондитер|Р",Норми!$L$12:$L$47,0),MATCH(AC$5,Норми!$C$11:$I$11,0))</f>
        <v>0</v>
      </c>
      <c r="AD49" s="40" t="n">
        <f aca="false">COUNTIF(AD$47:AD$48,"Р")-INDEX(Норми!$C$12:$I$47,MATCH("Кондитер|Р",Норми!$L$12:$L$47,0),MATCH(AD$5,Норми!$C$11:$I$11,0))</f>
        <v>0</v>
      </c>
      <c r="AE49" s="40" t="n">
        <f aca="false">COUNTIF(AE$47:AE$48,"Р")-INDEX(Норми!$C$12:$I$47,MATCH("Кондитер|Р",Норми!$L$12:$L$47,0),MATCH(AE$5,Норми!$C$11:$I$11,0))</f>
        <v>0</v>
      </c>
      <c r="AF49" s="40" t="n">
        <f aca="false">COUNTIF(AF$47:AF$48,"Р")-INDEX(Норми!$C$12:$I$47,MATCH("Кондитер|Р",Норми!$L$12:$L$47,0),MATCH(AF$5,Норми!$C$11:$I$11,0))</f>
        <v>0</v>
      </c>
      <c r="AG49" s="40" t="n">
        <f aca="false">COUNTIF(AG$47:AG$48,"Р")-INDEX(Норми!$C$12:$I$47,MATCH("Кондитер|Р",Норми!$L$12:$L$47,0),MATCH(AG$5,Норми!$C$11:$I$11,0))</f>
        <v>0</v>
      </c>
      <c r="AH49" s="40" t="n">
        <f aca="false">COUNTIF(AH$47:AH$48,"Р")-INDEX(Норми!$C$12:$I$47,MATCH("Кондитер|Р",Норми!$L$12:$L$47,0),MATCH(AH$5,Норми!$C$11:$I$11,0))</f>
        <v>0</v>
      </c>
    </row>
    <row r="51" customFormat="false" ht="15" hidden="false" customHeight="false" outlineLevel="0" collapsed="false">
      <c r="A51" s="21" t="s">
        <v>202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</row>
    <row r="52" customFormat="false" ht="15" hidden="false" customHeight="false" outlineLevel="0" collapsed="false">
      <c r="A52" s="8" t="n">
        <v>18</v>
      </c>
      <c r="B52" s="7" t="s">
        <v>104</v>
      </c>
      <c r="C52" s="37" t="s">
        <v>203</v>
      </c>
      <c r="D52" s="38" t="s">
        <v>41</v>
      </c>
      <c r="E52" s="38" t="s">
        <v>41</v>
      </c>
      <c r="F52" s="38" t="s">
        <v>41</v>
      </c>
      <c r="G52" s="38"/>
      <c r="H52" s="38"/>
      <c r="I52" s="38"/>
      <c r="J52" s="38" t="s">
        <v>49</v>
      </c>
      <c r="K52" s="38" t="s">
        <v>49</v>
      </c>
      <c r="L52" s="38" t="s">
        <v>49</v>
      </c>
      <c r="M52" s="38" t="s">
        <v>49</v>
      </c>
      <c r="N52" s="38"/>
      <c r="O52" s="38"/>
      <c r="P52" s="38" t="s">
        <v>41</v>
      </c>
      <c r="Q52" s="38" t="s">
        <v>41</v>
      </c>
      <c r="R52" s="38"/>
      <c r="S52" s="38" t="s">
        <v>55</v>
      </c>
      <c r="T52" s="38" t="s">
        <v>55</v>
      </c>
      <c r="U52" s="38"/>
      <c r="V52" s="38"/>
      <c r="W52" s="38"/>
      <c r="X52" s="38" t="s">
        <v>41</v>
      </c>
      <c r="Y52" s="38" t="s">
        <v>41</v>
      </c>
      <c r="Z52" s="38" t="s">
        <v>41</v>
      </c>
      <c r="AA52" s="38"/>
      <c r="AB52" s="38"/>
      <c r="AC52" s="38" t="s">
        <v>49</v>
      </c>
      <c r="AD52" s="38" t="s">
        <v>49</v>
      </c>
      <c r="AE52" s="38" t="s">
        <v>49</v>
      </c>
      <c r="AF52" s="38"/>
      <c r="AG52" s="38"/>
      <c r="AH52" s="38" t="s">
        <v>41</v>
      </c>
      <c r="AI52" s="8" t="n">
        <f aca="false">COUNTA(D52:AH52)</f>
        <v>18</v>
      </c>
      <c r="AJ52" s="39" t="n">
        <f aca="false">SUMPRODUCT((D52:AH52="Р")*$D$7:$AH$7)+SUMPRODUCT((D52:AH52="С")*$D$8:$AH$8)+SUMPRODUCT((D52:AH52="В")*$D$9:$AH$9)+SUMPRODUCT((D52:AH52="П")*$D$10:$AH$10)</f>
        <v>132</v>
      </c>
      <c r="AK52" s="8" t="n">
        <f aca="false">COLUMNS(D52:AH52)-AI52</f>
        <v>13</v>
      </c>
      <c r="AL52" s="8" t="n">
        <f aca="false">SUMPRODUCT((D52:AH52&lt;&gt;"")*(($D$5:$AH$5="Пт")+($D$5:$AH$5="Сб")))</f>
        <v>8</v>
      </c>
      <c r="AM52" s="26" t="n">
        <f aca="false">AJ52-Зміни!$C$19</f>
        <v>-44</v>
      </c>
    </row>
    <row r="53" customFormat="false" ht="15" hidden="false" customHeight="false" outlineLevel="0" collapsed="false">
      <c r="A53" s="8" t="n">
        <v>19</v>
      </c>
      <c r="B53" s="7" t="s">
        <v>104</v>
      </c>
      <c r="C53" s="37" t="s">
        <v>204</v>
      </c>
      <c r="D53" s="38"/>
      <c r="E53" s="38" t="s">
        <v>55</v>
      </c>
      <c r="F53" s="38" t="s">
        <v>55</v>
      </c>
      <c r="G53" s="38"/>
      <c r="H53" s="38"/>
      <c r="I53" s="38" t="s">
        <v>41</v>
      </c>
      <c r="J53" s="38" t="s">
        <v>41</v>
      </c>
      <c r="K53" s="38" t="s">
        <v>41</v>
      </c>
      <c r="L53" s="38"/>
      <c r="M53" s="38"/>
      <c r="N53" s="38" t="s">
        <v>41</v>
      </c>
      <c r="O53" s="38" t="s">
        <v>41</v>
      </c>
      <c r="P53" s="38"/>
      <c r="Q53" s="38"/>
      <c r="R53" s="38" t="s">
        <v>49</v>
      </c>
      <c r="S53" s="38" t="s">
        <v>49</v>
      </c>
      <c r="T53" s="38" t="s">
        <v>49</v>
      </c>
      <c r="U53" s="38"/>
      <c r="V53" s="38" t="s">
        <v>49</v>
      </c>
      <c r="W53" s="38"/>
      <c r="X53" s="38" t="s">
        <v>49</v>
      </c>
      <c r="Y53" s="38" t="s">
        <v>49</v>
      </c>
      <c r="Z53" s="38" t="s">
        <v>49</v>
      </c>
      <c r="AA53" s="38" t="s">
        <v>49</v>
      </c>
      <c r="AB53" s="38" t="s">
        <v>49</v>
      </c>
      <c r="AC53" s="38"/>
      <c r="AD53" s="38"/>
      <c r="AE53" s="38"/>
      <c r="AF53" s="38" t="s">
        <v>49</v>
      </c>
      <c r="AG53" s="38" t="s">
        <v>49</v>
      </c>
      <c r="AH53" s="38"/>
      <c r="AI53" s="8" t="n">
        <f aca="false">COUNTA(D53:AH53)</f>
        <v>18</v>
      </c>
      <c r="AJ53" s="39" t="n">
        <f aca="false">SUMPRODUCT((D53:AH53="Р")*$D$7:$AH$7)+SUMPRODUCT((D53:AH53="С")*$D$8:$AH$8)+SUMPRODUCT((D53:AH53="В")*$D$9:$AH$9)+SUMPRODUCT((D53:AH53="П")*$D$10:$AH$10)</f>
        <v>131.5</v>
      </c>
      <c r="AK53" s="8" t="n">
        <f aca="false">COLUMNS(D53:AH53)-AI53</f>
        <v>13</v>
      </c>
      <c r="AL53" s="8" t="n">
        <f aca="false">SUMPRODUCT((D53:AH53&lt;&gt;"")*(($D$5:$AH$5="Пт")+($D$5:$AH$5="Сб")))</f>
        <v>7</v>
      </c>
      <c r="AM53" s="26" t="n">
        <f aca="false">AJ53-Зміни!$C$19</f>
        <v>-44.5</v>
      </c>
    </row>
    <row r="54" customFormat="false" ht="15" hidden="false" customHeight="false" outlineLevel="0" collapsed="false">
      <c r="A54" s="8" t="n">
        <v>20</v>
      </c>
      <c r="B54" s="7" t="s">
        <v>104</v>
      </c>
      <c r="C54" s="37" t="s">
        <v>205</v>
      </c>
      <c r="D54" s="38" t="s">
        <v>49</v>
      </c>
      <c r="E54" s="38"/>
      <c r="F54" s="38"/>
      <c r="G54" s="38" t="s">
        <v>41</v>
      </c>
      <c r="H54" s="38" t="s">
        <v>41</v>
      </c>
      <c r="I54" s="38" t="s">
        <v>49</v>
      </c>
      <c r="J54" s="38"/>
      <c r="K54" s="38"/>
      <c r="L54" s="38" t="s">
        <v>55</v>
      </c>
      <c r="M54" s="38" t="s">
        <v>55</v>
      </c>
      <c r="N54" s="38"/>
      <c r="O54" s="38"/>
      <c r="P54" s="38" t="s">
        <v>49</v>
      </c>
      <c r="Q54" s="38" t="s">
        <v>49</v>
      </c>
      <c r="R54" s="38"/>
      <c r="S54" s="38" t="s">
        <v>41</v>
      </c>
      <c r="T54" s="38" t="s">
        <v>41</v>
      </c>
      <c r="U54" s="38" t="s">
        <v>41</v>
      </c>
      <c r="V54" s="38" t="s">
        <v>41</v>
      </c>
      <c r="W54" s="38" t="s">
        <v>41</v>
      </c>
      <c r="X54" s="38"/>
      <c r="Y54" s="38"/>
      <c r="Z54" s="38" t="s">
        <v>55</v>
      </c>
      <c r="AA54" s="38" t="s">
        <v>55</v>
      </c>
      <c r="AB54" s="38"/>
      <c r="AC54" s="38" t="s">
        <v>41</v>
      </c>
      <c r="AD54" s="38"/>
      <c r="AE54" s="38"/>
      <c r="AF54" s="38"/>
      <c r="AG54" s="38" t="s">
        <v>41</v>
      </c>
      <c r="AH54" s="38" t="s">
        <v>49</v>
      </c>
      <c r="AI54" s="8" t="n">
        <f aca="false">COUNTA(D54:AH54)</f>
        <v>18</v>
      </c>
      <c r="AJ54" s="39" t="n">
        <f aca="false">SUMPRODUCT((D54:AH54="Р")*$D$7:$AH$7)+SUMPRODUCT((D54:AH54="С")*$D$8:$AH$8)+SUMPRODUCT((D54:AH54="В")*$D$9:$AH$9)+SUMPRODUCT((D54:AH54="П")*$D$10:$AH$10)</f>
        <v>129</v>
      </c>
      <c r="AK54" s="8" t="n">
        <f aca="false">COLUMNS(D54:AH54)-AI54</f>
        <v>13</v>
      </c>
      <c r="AL54" s="8" t="n">
        <f aca="false">SUMPRODUCT((D54:AH54&lt;&gt;"")*(($D$5:$AH$5="Пт")+($D$5:$AH$5="Сб")))</f>
        <v>8</v>
      </c>
      <c r="AM54" s="26" t="n">
        <f aca="false">AJ54-Зміни!$C$19</f>
        <v>-47</v>
      </c>
    </row>
    <row r="55" customFormat="false" ht="15" hidden="false" customHeight="false" outlineLevel="0" collapsed="false">
      <c r="A55" s="8" t="n">
        <v>21</v>
      </c>
      <c r="B55" s="7" t="s">
        <v>104</v>
      </c>
      <c r="C55" s="37" t="s">
        <v>206</v>
      </c>
      <c r="D55" s="38"/>
      <c r="E55" s="38" t="s">
        <v>49</v>
      </c>
      <c r="F55" s="38" t="s">
        <v>49</v>
      </c>
      <c r="G55" s="38" t="s">
        <v>49</v>
      </c>
      <c r="H55" s="38" t="s">
        <v>49</v>
      </c>
      <c r="I55" s="38"/>
      <c r="J55" s="38"/>
      <c r="K55" s="38"/>
      <c r="L55" s="38" t="s">
        <v>41</v>
      </c>
      <c r="M55" s="38" t="s">
        <v>41</v>
      </c>
      <c r="N55" s="38" t="s">
        <v>49</v>
      </c>
      <c r="O55" s="38" t="s">
        <v>49</v>
      </c>
      <c r="P55" s="38"/>
      <c r="Q55" s="38"/>
      <c r="R55" s="38" t="s">
        <v>41</v>
      </c>
      <c r="S55" s="38"/>
      <c r="T55" s="38"/>
      <c r="U55" s="38" t="s">
        <v>49</v>
      </c>
      <c r="V55" s="38"/>
      <c r="W55" s="38" t="s">
        <v>49</v>
      </c>
      <c r="X55" s="38"/>
      <c r="Y55" s="38"/>
      <c r="Z55" s="38"/>
      <c r="AA55" s="38" t="s">
        <v>41</v>
      </c>
      <c r="AB55" s="38" t="s">
        <v>41</v>
      </c>
      <c r="AC55" s="38"/>
      <c r="AD55" s="38" t="s">
        <v>41</v>
      </c>
      <c r="AE55" s="38" t="s">
        <v>41</v>
      </c>
      <c r="AF55" s="38" t="s">
        <v>41</v>
      </c>
      <c r="AG55" s="38" t="s">
        <v>55</v>
      </c>
      <c r="AH55" s="38" t="s">
        <v>55</v>
      </c>
      <c r="AI55" s="8" t="n">
        <f aca="false">COUNTA(D55:AH55)</f>
        <v>18</v>
      </c>
      <c r="AJ55" s="39" t="n">
        <f aca="false">SUMPRODUCT((D55:AH55="Р")*$D$7:$AH$7)+SUMPRODUCT((D55:AH55="С")*$D$8:$AH$8)+SUMPRODUCT((D55:AH55="В")*$D$9:$AH$9)+SUMPRODUCT((D55:AH55="П")*$D$10:$AH$10)</f>
        <v>130.5</v>
      </c>
      <c r="AK55" s="8" t="n">
        <f aca="false">COLUMNS(D55:AH55)-AI55</f>
        <v>13</v>
      </c>
      <c r="AL55" s="8" t="n">
        <f aca="false">SUMPRODUCT((D55:AH55&lt;&gt;"")*(($D$5:$AH$5="Пт")+($D$5:$AH$5="Сб")))</f>
        <v>7</v>
      </c>
      <c r="AM55" s="26" t="n">
        <f aca="false">AJ55-Зміни!$C$19</f>
        <v>-45.5</v>
      </c>
    </row>
    <row r="56" customFormat="false" ht="15" hidden="false" customHeight="false" outlineLevel="0" collapsed="false">
      <c r="C56" s="35" t="s">
        <v>140</v>
      </c>
      <c r="D56" s="40" t="n">
        <f aca="false">COUNTIF(D$52:D$55,"Р")-INDEX(Норми!$C$12:$I$47,MATCH("Мийник|Р",Норми!$L$12:$L$47,0),MATCH(D$5,Норми!$C$11:$I$11,0))</f>
        <v>0</v>
      </c>
      <c r="E56" s="40" t="n">
        <f aca="false">COUNTIF(E$52:E$55,"Р")-INDEX(Норми!$C$12:$I$47,MATCH("Мийник|Р",Норми!$L$12:$L$47,0),MATCH(E$5,Норми!$C$11:$I$11,0))</f>
        <v>0</v>
      </c>
      <c r="F56" s="40" t="n">
        <f aca="false">COUNTIF(F$52:F$55,"Р")-INDEX(Норми!$C$12:$I$47,MATCH("Мийник|Р",Норми!$L$12:$L$47,0),MATCH(F$5,Норми!$C$11:$I$11,0))</f>
        <v>0</v>
      </c>
      <c r="G56" s="40" t="n">
        <f aca="false">COUNTIF(G$52:G$55,"Р")-INDEX(Норми!$C$12:$I$47,MATCH("Мийник|Р",Норми!$L$12:$L$47,0),MATCH(G$5,Норми!$C$11:$I$11,0))</f>
        <v>0</v>
      </c>
      <c r="H56" s="40" t="n">
        <f aca="false">COUNTIF(H$52:H$55,"Р")-INDEX(Норми!$C$12:$I$47,MATCH("Мийник|Р",Норми!$L$12:$L$47,0),MATCH(H$5,Норми!$C$11:$I$11,0))</f>
        <v>0</v>
      </c>
      <c r="I56" s="40" t="n">
        <f aca="false">COUNTIF(I$52:I$55,"Р")-INDEX(Норми!$C$12:$I$47,MATCH("Мийник|Р",Норми!$L$12:$L$47,0),MATCH(I$5,Норми!$C$11:$I$11,0))</f>
        <v>0</v>
      </c>
      <c r="J56" s="40" t="n">
        <f aca="false">COUNTIF(J$52:J$55,"Р")-INDEX(Норми!$C$12:$I$47,MATCH("Мийник|Р",Норми!$L$12:$L$47,0),MATCH(J$5,Норми!$C$11:$I$11,0))</f>
        <v>0</v>
      </c>
      <c r="K56" s="40" t="n">
        <f aca="false">COUNTIF(K$52:K$55,"Р")-INDEX(Норми!$C$12:$I$47,MATCH("Мийник|Р",Норми!$L$12:$L$47,0),MATCH(K$5,Норми!$C$11:$I$11,0))</f>
        <v>0</v>
      </c>
      <c r="L56" s="40" t="n">
        <f aca="false">COUNTIF(L$52:L$55,"Р")-INDEX(Норми!$C$12:$I$47,MATCH("Мийник|Р",Норми!$L$12:$L$47,0),MATCH(L$5,Норми!$C$11:$I$11,0))</f>
        <v>0</v>
      </c>
      <c r="M56" s="40" t="n">
        <f aca="false">COUNTIF(M$52:M$55,"Р")-INDEX(Норми!$C$12:$I$47,MATCH("Мийник|Р",Норми!$L$12:$L$47,0),MATCH(M$5,Норми!$C$11:$I$11,0))</f>
        <v>0</v>
      </c>
      <c r="N56" s="40" t="n">
        <f aca="false">COUNTIF(N$52:N$55,"Р")-INDEX(Норми!$C$12:$I$47,MATCH("Мийник|Р",Норми!$L$12:$L$47,0),MATCH(N$5,Норми!$C$11:$I$11,0))</f>
        <v>0</v>
      </c>
      <c r="O56" s="40" t="n">
        <f aca="false">COUNTIF(O$52:O$55,"Р")-INDEX(Норми!$C$12:$I$47,MATCH("Мийник|Р",Норми!$L$12:$L$47,0),MATCH(O$5,Норми!$C$11:$I$11,0))</f>
        <v>0</v>
      </c>
      <c r="P56" s="40" t="n">
        <f aca="false">COUNTIF(P$52:P$55,"Р")-INDEX(Норми!$C$12:$I$47,MATCH("Мийник|Р",Норми!$L$12:$L$47,0),MATCH(P$5,Норми!$C$11:$I$11,0))</f>
        <v>0</v>
      </c>
      <c r="Q56" s="40" t="n">
        <f aca="false">COUNTIF(Q$52:Q$55,"Р")-INDEX(Норми!$C$12:$I$47,MATCH("Мийник|Р",Норми!$L$12:$L$47,0),MATCH(Q$5,Норми!$C$11:$I$11,0))</f>
        <v>0</v>
      </c>
      <c r="R56" s="40" t="n">
        <f aca="false">COUNTIF(R$52:R$55,"Р")-INDEX(Норми!$C$12:$I$47,MATCH("Мийник|Р",Норми!$L$12:$L$47,0),MATCH(R$5,Норми!$C$11:$I$11,0))</f>
        <v>0</v>
      </c>
      <c r="S56" s="40" t="n">
        <f aca="false">COUNTIF(S$52:S$55,"Р")-INDEX(Норми!$C$12:$I$47,MATCH("Мийник|Р",Норми!$L$12:$L$47,0),MATCH(S$5,Норми!$C$11:$I$11,0))</f>
        <v>0</v>
      </c>
      <c r="T56" s="40" t="n">
        <f aca="false">COUNTIF(T$52:T$55,"Р")-INDEX(Норми!$C$12:$I$47,MATCH("Мийник|Р",Норми!$L$12:$L$47,0),MATCH(T$5,Норми!$C$11:$I$11,0))</f>
        <v>0</v>
      </c>
      <c r="U56" s="40" t="n">
        <f aca="false">COUNTIF(U$52:U$55,"Р")-INDEX(Норми!$C$12:$I$47,MATCH("Мийник|Р",Норми!$L$12:$L$47,0),MATCH(U$5,Норми!$C$11:$I$11,0))</f>
        <v>0</v>
      </c>
      <c r="V56" s="40" t="n">
        <f aca="false">COUNTIF(V$52:V$55,"Р")-INDEX(Норми!$C$12:$I$47,MATCH("Мийник|Р",Норми!$L$12:$L$47,0),MATCH(V$5,Норми!$C$11:$I$11,0))</f>
        <v>0</v>
      </c>
      <c r="W56" s="40" t="n">
        <f aca="false">COUNTIF(W$52:W$55,"Р")-INDEX(Норми!$C$12:$I$47,MATCH("Мийник|Р",Норми!$L$12:$L$47,0),MATCH(W$5,Норми!$C$11:$I$11,0))</f>
        <v>0</v>
      </c>
      <c r="X56" s="40" t="n">
        <f aca="false">COUNTIF(X$52:X$55,"Р")-INDEX(Норми!$C$12:$I$47,MATCH("Мийник|Р",Норми!$L$12:$L$47,0),MATCH(X$5,Норми!$C$11:$I$11,0))</f>
        <v>0</v>
      </c>
      <c r="Y56" s="40" t="n">
        <f aca="false">COUNTIF(Y$52:Y$55,"Р")-INDEX(Норми!$C$12:$I$47,MATCH("Мийник|Р",Норми!$L$12:$L$47,0),MATCH(Y$5,Норми!$C$11:$I$11,0))</f>
        <v>0</v>
      </c>
      <c r="Z56" s="40" t="n">
        <f aca="false">COUNTIF(Z$52:Z$55,"Р")-INDEX(Норми!$C$12:$I$47,MATCH("Мийник|Р",Норми!$L$12:$L$47,0),MATCH(Z$5,Норми!$C$11:$I$11,0))</f>
        <v>0</v>
      </c>
      <c r="AA56" s="40" t="n">
        <f aca="false">COUNTIF(AA$52:AA$55,"Р")-INDEX(Норми!$C$12:$I$47,MATCH("Мийник|Р",Норми!$L$12:$L$47,0),MATCH(AA$5,Норми!$C$11:$I$11,0))</f>
        <v>0</v>
      </c>
      <c r="AB56" s="40" t="n">
        <f aca="false">COUNTIF(AB$52:AB$55,"Р")-INDEX(Норми!$C$12:$I$47,MATCH("Мийник|Р",Норми!$L$12:$L$47,0),MATCH(AB$5,Норми!$C$11:$I$11,0))</f>
        <v>0</v>
      </c>
      <c r="AC56" s="40" t="n">
        <f aca="false">COUNTIF(AC$52:AC$55,"Р")-INDEX(Норми!$C$12:$I$47,MATCH("Мийник|Р",Норми!$L$12:$L$47,0),MATCH(AC$5,Норми!$C$11:$I$11,0))</f>
        <v>0</v>
      </c>
      <c r="AD56" s="40" t="n">
        <f aca="false">COUNTIF(AD$52:AD$55,"Р")-INDEX(Норми!$C$12:$I$47,MATCH("Мийник|Р",Норми!$L$12:$L$47,0),MATCH(AD$5,Норми!$C$11:$I$11,0))</f>
        <v>0</v>
      </c>
      <c r="AE56" s="40" t="n">
        <f aca="false">COUNTIF(AE$52:AE$55,"Р")-INDEX(Норми!$C$12:$I$47,MATCH("Мийник|Р",Норми!$L$12:$L$47,0),MATCH(AE$5,Норми!$C$11:$I$11,0))</f>
        <v>0</v>
      </c>
      <c r="AF56" s="40" t="n">
        <f aca="false">COUNTIF(AF$52:AF$55,"Р")-INDEX(Норми!$C$12:$I$47,MATCH("Мийник|Р",Норми!$L$12:$L$47,0),MATCH(AF$5,Норми!$C$11:$I$11,0))</f>
        <v>0</v>
      </c>
      <c r="AG56" s="40" t="n">
        <f aca="false">COUNTIF(AG$52:AG$55,"Р")-INDEX(Норми!$C$12:$I$47,MATCH("Мийник|Р",Норми!$L$12:$L$47,0),MATCH(AG$5,Норми!$C$11:$I$11,0))</f>
        <v>0</v>
      </c>
      <c r="AH56" s="40" t="n">
        <f aca="false">COUNTIF(AH$52:AH$55,"Р")-INDEX(Норми!$C$12:$I$47,MATCH("Мийник|Р",Норми!$L$12:$L$47,0),MATCH(AH$5,Норми!$C$11:$I$11,0))</f>
        <v>0</v>
      </c>
    </row>
    <row r="57" customFormat="false" ht="15" hidden="false" customHeight="false" outlineLevel="0" collapsed="false">
      <c r="C57" s="35" t="s">
        <v>141</v>
      </c>
      <c r="D57" s="40" t="n">
        <f aca="false">COUNTIF(D$52:D$55,"В")-INDEX(Норми!$C$12:$I$47,MATCH("Мийник|В",Норми!$L$12:$L$47,0),MATCH(D$5,Норми!$C$11:$I$11,0))</f>
        <v>0</v>
      </c>
      <c r="E57" s="40" t="n">
        <f aca="false">COUNTIF(E$52:E$55,"В")-INDEX(Норми!$C$12:$I$47,MATCH("Мийник|В",Норми!$L$12:$L$47,0),MATCH(E$5,Норми!$C$11:$I$11,0))</f>
        <v>0</v>
      </c>
      <c r="F57" s="40" t="n">
        <f aca="false">COUNTIF(F$52:F$55,"В")-INDEX(Норми!$C$12:$I$47,MATCH("Мийник|В",Норми!$L$12:$L$47,0),MATCH(F$5,Норми!$C$11:$I$11,0))</f>
        <v>0</v>
      </c>
      <c r="G57" s="40" t="n">
        <f aca="false">COUNTIF(G$52:G$55,"В")-INDEX(Норми!$C$12:$I$47,MATCH("Мийник|В",Норми!$L$12:$L$47,0),MATCH(G$5,Норми!$C$11:$I$11,0))</f>
        <v>0</v>
      </c>
      <c r="H57" s="40" t="n">
        <f aca="false">COUNTIF(H$52:H$55,"В")-INDEX(Норми!$C$12:$I$47,MATCH("Мийник|В",Норми!$L$12:$L$47,0),MATCH(H$5,Норми!$C$11:$I$11,0))</f>
        <v>0</v>
      </c>
      <c r="I57" s="40" t="n">
        <f aca="false">COUNTIF(I$52:I$55,"В")-INDEX(Норми!$C$12:$I$47,MATCH("Мийник|В",Норми!$L$12:$L$47,0),MATCH(I$5,Норми!$C$11:$I$11,0))</f>
        <v>0</v>
      </c>
      <c r="J57" s="40" t="n">
        <f aca="false">COUNTIF(J$52:J$55,"В")-INDEX(Норми!$C$12:$I$47,MATCH("Мийник|В",Норми!$L$12:$L$47,0),MATCH(J$5,Норми!$C$11:$I$11,0))</f>
        <v>0</v>
      </c>
      <c r="K57" s="40" t="n">
        <f aca="false">COUNTIF(K$52:K$55,"В")-INDEX(Норми!$C$12:$I$47,MATCH("Мийник|В",Норми!$L$12:$L$47,0),MATCH(K$5,Норми!$C$11:$I$11,0))</f>
        <v>0</v>
      </c>
      <c r="L57" s="40" t="n">
        <f aca="false">COUNTIF(L$52:L$55,"В")-INDEX(Норми!$C$12:$I$47,MATCH("Мийник|В",Норми!$L$12:$L$47,0),MATCH(L$5,Норми!$C$11:$I$11,0))</f>
        <v>0</v>
      </c>
      <c r="M57" s="40" t="n">
        <f aca="false">COUNTIF(M$52:M$55,"В")-INDEX(Норми!$C$12:$I$47,MATCH("Мийник|В",Норми!$L$12:$L$47,0),MATCH(M$5,Норми!$C$11:$I$11,0))</f>
        <v>0</v>
      </c>
      <c r="N57" s="40" t="n">
        <f aca="false">COUNTIF(N$52:N$55,"В")-INDEX(Норми!$C$12:$I$47,MATCH("Мийник|В",Норми!$L$12:$L$47,0),MATCH(N$5,Норми!$C$11:$I$11,0))</f>
        <v>0</v>
      </c>
      <c r="O57" s="40" t="n">
        <f aca="false">COUNTIF(O$52:O$55,"В")-INDEX(Норми!$C$12:$I$47,MATCH("Мийник|В",Норми!$L$12:$L$47,0),MATCH(O$5,Норми!$C$11:$I$11,0))</f>
        <v>0</v>
      </c>
      <c r="P57" s="40" t="n">
        <f aca="false">COUNTIF(P$52:P$55,"В")-INDEX(Норми!$C$12:$I$47,MATCH("Мийник|В",Норми!$L$12:$L$47,0),MATCH(P$5,Норми!$C$11:$I$11,0))</f>
        <v>0</v>
      </c>
      <c r="Q57" s="40" t="n">
        <f aca="false">COUNTIF(Q$52:Q$55,"В")-INDEX(Норми!$C$12:$I$47,MATCH("Мийник|В",Норми!$L$12:$L$47,0),MATCH(Q$5,Норми!$C$11:$I$11,0))</f>
        <v>0</v>
      </c>
      <c r="R57" s="40" t="n">
        <f aca="false">COUNTIF(R$52:R$55,"В")-INDEX(Норми!$C$12:$I$47,MATCH("Мийник|В",Норми!$L$12:$L$47,0),MATCH(R$5,Норми!$C$11:$I$11,0))</f>
        <v>0</v>
      </c>
      <c r="S57" s="40" t="n">
        <f aca="false">COUNTIF(S$52:S$55,"В")-INDEX(Норми!$C$12:$I$47,MATCH("Мийник|В",Норми!$L$12:$L$47,0),MATCH(S$5,Норми!$C$11:$I$11,0))</f>
        <v>0</v>
      </c>
      <c r="T57" s="40" t="n">
        <f aca="false">COUNTIF(T$52:T$55,"В")-INDEX(Норми!$C$12:$I$47,MATCH("Мийник|В",Норми!$L$12:$L$47,0),MATCH(T$5,Норми!$C$11:$I$11,0))</f>
        <v>0</v>
      </c>
      <c r="U57" s="40" t="n">
        <f aca="false">COUNTIF(U$52:U$55,"В")-INDEX(Норми!$C$12:$I$47,MATCH("Мийник|В",Норми!$L$12:$L$47,0),MATCH(U$5,Норми!$C$11:$I$11,0))</f>
        <v>0</v>
      </c>
      <c r="V57" s="40" t="n">
        <f aca="false">COUNTIF(V$52:V$55,"В")-INDEX(Норми!$C$12:$I$47,MATCH("Мийник|В",Норми!$L$12:$L$47,0),MATCH(V$5,Норми!$C$11:$I$11,0))</f>
        <v>0</v>
      </c>
      <c r="W57" s="40" t="n">
        <f aca="false">COUNTIF(W$52:W$55,"В")-INDEX(Норми!$C$12:$I$47,MATCH("Мийник|В",Норми!$L$12:$L$47,0),MATCH(W$5,Норми!$C$11:$I$11,0))</f>
        <v>0</v>
      </c>
      <c r="X57" s="40" t="n">
        <f aca="false">COUNTIF(X$52:X$55,"В")-INDEX(Норми!$C$12:$I$47,MATCH("Мийник|В",Норми!$L$12:$L$47,0),MATCH(X$5,Норми!$C$11:$I$11,0))</f>
        <v>0</v>
      </c>
      <c r="Y57" s="40" t="n">
        <f aca="false">COUNTIF(Y$52:Y$55,"В")-INDEX(Норми!$C$12:$I$47,MATCH("Мийник|В",Норми!$L$12:$L$47,0),MATCH(Y$5,Норми!$C$11:$I$11,0))</f>
        <v>0</v>
      </c>
      <c r="Z57" s="40" t="n">
        <f aca="false">COUNTIF(Z$52:Z$55,"В")-INDEX(Норми!$C$12:$I$47,MATCH("Мийник|В",Норми!$L$12:$L$47,0),MATCH(Z$5,Норми!$C$11:$I$11,0))</f>
        <v>0</v>
      </c>
      <c r="AA57" s="40" t="n">
        <f aca="false">COUNTIF(AA$52:AA$55,"В")-INDEX(Норми!$C$12:$I$47,MATCH("Мийник|В",Норми!$L$12:$L$47,0),MATCH(AA$5,Норми!$C$11:$I$11,0))</f>
        <v>0</v>
      </c>
      <c r="AB57" s="40" t="n">
        <f aca="false">COUNTIF(AB$52:AB$55,"В")-INDEX(Норми!$C$12:$I$47,MATCH("Мийник|В",Норми!$L$12:$L$47,0),MATCH(AB$5,Норми!$C$11:$I$11,0))</f>
        <v>0</v>
      </c>
      <c r="AC57" s="40" t="n">
        <f aca="false">COUNTIF(AC$52:AC$55,"В")-INDEX(Норми!$C$12:$I$47,MATCH("Мийник|В",Норми!$L$12:$L$47,0),MATCH(AC$5,Норми!$C$11:$I$11,0))</f>
        <v>0</v>
      </c>
      <c r="AD57" s="40" t="n">
        <f aca="false">COUNTIF(AD$52:AD$55,"В")-INDEX(Норми!$C$12:$I$47,MATCH("Мийник|В",Норми!$L$12:$L$47,0),MATCH(AD$5,Норми!$C$11:$I$11,0))</f>
        <v>0</v>
      </c>
      <c r="AE57" s="40" t="n">
        <f aca="false">COUNTIF(AE$52:AE$55,"В")-INDEX(Норми!$C$12:$I$47,MATCH("Мийник|В",Норми!$L$12:$L$47,0),MATCH(AE$5,Норми!$C$11:$I$11,0))</f>
        <v>0</v>
      </c>
      <c r="AF57" s="40" t="n">
        <f aca="false">COUNTIF(AF$52:AF$55,"В")-INDEX(Норми!$C$12:$I$47,MATCH("Мийник|В",Норми!$L$12:$L$47,0),MATCH(AF$5,Норми!$C$11:$I$11,0))</f>
        <v>0</v>
      </c>
      <c r="AG57" s="40" t="n">
        <f aca="false">COUNTIF(AG$52:AG$55,"В")-INDEX(Норми!$C$12:$I$47,MATCH("Мийник|В",Норми!$L$12:$L$47,0),MATCH(AG$5,Норми!$C$11:$I$11,0))</f>
        <v>0</v>
      </c>
      <c r="AH57" s="40" t="n">
        <f aca="false">COUNTIF(AH$52:AH$55,"В")-INDEX(Норми!$C$12:$I$47,MATCH("Мийник|В",Норми!$L$12:$L$47,0),MATCH(AH$5,Норми!$C$11:$I$11,0))</f>
        <v>0</v>
      </c>
    </row>
    <row r="58" customFormat="false" ht="15" hidden="false" customHeight="false" outlineLevel="0" collapsed="false">
      <c r="C58" s="35" t="s">
        <v>148</v>
      </c>
      <c r="D58" s="40" t="n">
        <f aca="false">COUNTIF(D$52:D$55,"П")-INDEX(Норми!$C$12:$I$47,MATCH("Мийник|П",Норми!$L$12:$L$47,0),MATCH(D$5,Норми!$C$11:$I$11,0))</f>
        <v>0</v>
      </c>
      <c r="E58" s="40" t="n">
        <f aca="false">COUNTIF(E$52:E$55,"П")-INDEX(Норми!$C$12:$I$47,MATCH("Мийник|П",Норми!$L$12:$L$47,0),MATCH(E$5,Норми!$C$11:$I$11,0))</f>
        <v>0</v>
      </c>
      <c r="F58" s="40" t="n">
        <f aca="false">COUNTIF(F$52:F$55,"П")-INDEX(Норми!$C$12:$I$47,MATCH("Мийник|П",Норми!$L$12:$L$47,0),MATCH(F$5,Норми!$C$11:$I$11,0))</f>
        <v>0</v>
      </c>
      <c r="G58" s="40" t="n">
        <f aca="false">COUNTIF(G$52:G$55,"П")-INDEX(Норми!$C$12:$I$47,MATCH("Мийник|П",Норми!$L$12:$L$47,0),MATCH(G$5,Норми!$C$11:$I$11,0))</f>
        <v>0</v>
      </c>
      <c r="H58" s="40" t="n">
        <f aca="false">COUNTIF(H$52:H$55,"П")-INDEX(Норми!$C$12:$I$47,MATCH("Мийник|П",Норми!$L$12:$L$47,0),MATCH(H$5,Норми!$C$11:$I$11,0))</f>
        <v>0</v>
      </c>
      <c r="I58" s="40" t="n">
        <f aca="false">COUNTIF(I$52:I$55,"П")-INDEX(Норми!$C$12:$I$47,MATCH("Мийник|П",Норми!$L$12:$L$47,0),MATCH(I$5,Норми!$C$11:$I$11,0))</f>
        <v>0</v>
      </c>
      <c r="J58" s="40" t="n">
        <f aca="false">COUNTIF(J$52:J$55,"П")-INDEX(Норми!$C$12:$I$47,MATCH("Мийник|П",Норми!$L$12:$L$47,0),MATCH(J$5,Норми!$C$11:$I$11,0))</f>
        <v>0</v>
      </c>
      <c r="K58" s="40" t="n">
        <f aca="false">COUNTIF(K$52:K$55,"П")-INDEX(Норми!$C$12:$I$47,MATCH("Мийник|П",Норми!$L$12:$L$47,0),MATCH(K$5,Норми!$C$11:$I$11,0))</f>
        <v>0</v>
      </c>
      <c r="L58" s="40" t="n">
        <f aca="false">COUNTIF(L$52:L$55,"П")-INDEX(Норми!$C$12:$I$47,MATCH("Мийник|П",Норми!$L$12:$L$47,0),MATCH(L$5,Норми!$C$11:$I$11,0))</f>
        <v>0</v>
      </c>
      <c r="M58" s="40" t="n">
        <f aca="false">COUNTIF(M$52:M$55,"П")-INDEX(Норми!$C$12:$I$47,MATCH("Мийник|П",Норми!$L$12:$L$47,0),MATCH(M$5,Норми!$C$11:$I$11,0))</f>
        <v>0</v>
      </c>
      <c r="N58" s="40" t="n">
        <f aca="false">COUNTIF(N$52:N$55,"П")-INDEX(Норми!$C$12:$I$47,MATCH("Мийник|П",Норми!$L$12:$L$47,0),MATCH(N$5,Норми!$C$11:$I$11,0))</f>
        <v>0</v>
      </c>
      <c r="O58" s="40" t="n">
        <f aca="false">COUNTIF(O$52:O$55,"П")-INDEX(Норми!$C$12:$I$47,MATCH("Мийник|П",Норми!$L$12:$L$47,0),MATCH(O$5,Норми!$C$11:$I$11,0))</f>
        <v>0</v>
      </c>
      <c r="P58" s="40" t="n">
        <f aca="false">COUNTIF(P$52:P$55,"П")-INDEX(Норми!$C$12:$I$47,MATCH("Мийник|П",Норми!$L$12:$L$47,0),MATCH(P$5,Норми!$C$11:$I$11,0))</f>
        <v>0</v>
      </c>
      <c r="Q58" s="40" t="n">
        <f aca="false">COUNTIF(Q$52:Q$55,"П")-INDEX(Норми!$C$12:$I$47,MATCH("Мийник|П",Норми!$L$12:$L$47,0),MATCH(Q$5,Норми!$C$11:$I$11,0))</f>
        <v>0</v>
      </c>
      <c r="R58" s="40" t="n">
        <f aca="false">COUNTIF(R$52:R$55,"П")-INDEX(Норми!$C$12:$I$47,MATCH("Мийник|П",Норми!$L$12:$L$47,0),MATCH(R$5,Норми!$C$11:$I$11,0))</f>
        <v>0</v>
      </c>
      <c r="S58" s="40" t="n">
        <f aca="false">COUNTIF(S$52:S$55,"П")-INDEX(Норми!$C$12:$I$47,MATCH("Мийник|П",Норми!$L$12:$L$47,0),MATCH(S$5,Норми!$C$11:$I$11,0))</f>
        <v>0</v>
      </c>
      <c r="T58" s="40" t="n">
        <f aca="false">COUNTIF(T$52:T$55,"П")-INDEX(Норми!$C$12:$I$47,MATCH("Мийник|П",Норми!$L$12:$L$47,0),MATCH(T$5,Норми!$C$11:$I$11,0))</f>
        <v>0</v>
      </c>
      <c r="U58" s="40" t="n">
        <f aca="false">COUNTIF(U$52:U$55,"П")-INDEX(Норми!$C$12:$I$47,MATCH("Мийник|П",Норми!$L$12:$L$47,0),MATCH(U$5,Норми!$C$11:$I$11,0))</f>
        <v>0</v>
      </c>
      <c r="V58" s="40" t="n">
        <f aca="false">COUNTIF(V$52:V$55,"П")-INDEX(Норми!$C$12:$I$47,MATCH("Мийник|П",Норми!$L$12:$L$47,0),MATCH(V$5,Норми!$C$11:$I$11,0))</f>
        <v>0</v>
      </c>
      <c r="W58" s="40" t="n">
        <f aca="false">COUNTIF(W$52:W$55,"П")-INDEX(Норми!$C$12:$I$47,MATCH("Мийник|П",Норми!$L$12:$L$47,0),MATCH(W$5,Норми!$C$11:$I$11,0))</f>
        <v>0</v>
      </c>
      <c r="X58" s="40" t="n">
        <f aca="false">COUNTIF(X$52:X$55,"П")-INDEX(Норми!$C$12:$I$47,MATCH("Мийник|П",Норми!$L$12:$L$47,0),MATCH(X$5,Норми!$C$11:$I$11,0))</f>
        <v>0</v>
      </c>
      <c r="Y58" s="40" t="n">
        <f aca="false">COUNTIF(Y$52:Y$55,"П")-INDEX(Норми!$C$12:$I$47,MATCH("Мийник|П",Норми!$L$12:$L$47,0),MATCH(Y$5,Норми!$C$11:$I$11,0))</f>
        <v>0</v>
      </c>
      <c r="Z58" s="40" t="n">
        <f aca="false">COUNTIF(Z$52:Z$55,"П")-INDEX(Норми!$C$12:$I$47,MATCH("Мийник|П",Норми!$L$12:$L$47,0),MATCH(Z$5,Норми!$C$11:$I$11,0))</f>
        <v>0</v>
      </c>
      <c r="AA58" s="40" t="n">
        <f aca="false">COUNTIF(AA$52:AA$55,"П")-INDEX(Норми!$C$12:$I$47,MATCH("Мийник|П",Норми!$L$12:$L$47,0),MATCH(AA$5,Норми!$C$11:$I$11,0))</f>
        <v>0</v>
      </c>
      <c r="AB58" s="40" t="n">
        <f aca="false">COUNTIF(AB$52:AB$55,"П")-INDEX(Норми!$C$12:$I$47,MATCH("Мийник|П",Норми!$L$12:$L$47,0),MATCH(AB$5,Норми!$C$11:$I$11,0))</f>
        <v>0</v>
      </c>
      <c r="AC58" s="40" t="n">
        <f aca="false">COUNTIF(AC$52:AC$55,"П")-INDEX(Норми!$C$12:$I$47,MATCH("Мийник|П",Норми!$L$12:$L$47,0),MATCH(AC$5,Норми!$C$11:$I$11,0))</f>
        <v>0</v>
      </c>
      <c r="AD58" s="40" t="n">
        <f aca="false">COUNTIF(AD$52:AD$55,"П")-INDEX(Норми!$C$12:$I$47,MATCH("Мийник|П",Норми!$L$12:$L$47,0),MATCH(AD$5,Норми!$C$11:$I$11,0))</f>
        <v>0</v>
      </c>
      <c r="AE58" s="40" t="n">
        <f aca="false">COUNTIF(AE$52:AE$55,"П")-INDEX(Норми!$C$12:$I$47,MATCH("Мийник|П",Норми!$L$12:$L$47,0),MATCH(AE$5,Норми!$C$11:$I$11,0))</f>
        <v>0</v>
      </c>
      <c r="AF58" s="40" t="n">
        <f aca="false">COUNTIF(AF$52:AF$55,"П")-INDEX(Норми!$C$12:$I$47,MATCH("Мийник|П",Норми!$L$12:$L$47,0),MATCH(AF$5,Норми!$C$11:$I$11,0))</f>
        <v>0</v>
      </c>
      <c r="AG58" s="40" t="n">
        <f aca="false">COUNTIF(AG$52:AG$55,"П")-INDEX(Норми!$C$12:$I$47,MATCH("Мийник|П",Норми!$L$12:$L$47,0),MATCH(AG$5,Норми!$C$11:$I$11,0))</f>
        <v>0</v>
      </c>
      <c r="AH58" s="40" t="n">
        <f aca="false">COUNTIF(AH$52:AH$55,"П")-INDEX(Норми!$C$12:$I$47,MATCH("Мийник|П",Норми!$L$12:$L$47,0),MATCH(AH$5,Норми!$C$11:$I$11,0))</f>
        <v>0</v>
      </c>
    </row>
    <row r="60" customFormat="false" ht="15" hidden="false" customHeight="false" outlineLevel="0" collapsed="false">
      <c r="C60" s="41" t="s">
        <v>176</v>
      </c>
      <c r="D60" s="23" t="n">
        <f aca="false">SUMPRODUCT((D12:D59="Р")+(D12:D59="С")+(D12:D59="В")+(D12:D59="П"))</f>
        <v>12</v>
      </c>
      <c r="E60" s="23" t="n">
        <f aca="false">SUMPRODUCT((E12:E59="Р")+(E12:E59="С")+(E12:E59="В")+(E12:E59="П"))</f>
        <v>16</v>
      </c>
      <c r="F60" s="23" t="n">
        <f aca="false">SUMPRODUCT((F12:F59="Р")+(F12:F59="С")+(F12:F59="В")+(F12:F59="П"))</f>
        <v>17</v>
      </c>
      <c r="G60" s="23" t="n">
        <f aca="false">SUMPRODUCT((G12:G59="Р")+(G12:G59="С")+(G12:G59="В")+(G12:G59="П"))</f>
        <v>13</v>
      </c>
      <c r="H60" s="23" t="n">
        <f aca="false">SUMPRODUCT((H12:H59="Р")+(H12:H59="С")+(H12:H59="В")+(H12:H59="П"))</f>
        <v>11</v>
      </c>
      <c r="I60" s="23" t="n">
        <f aca="false">SUMPRODUCT((I12:I59="Р")+(I12:I59="С")+(I12:I59="В")+(I12:I59="П"))</f>
        <v>11</v>
      </c>
      <c r="J60" s="23" t="n">
        <f aca="false">SUMPRODUCT((J12:J59="Р")+(J12:J59="С")+(J12:J59="В")+(J12:J59="П"))</f>
        <v>11</v>
      </c>
      <c r="K60" s="23" t="n">
        <f aca="false">SUMPRODUCT((K12:K59="Р")+(K12:K59="С")+(K12:K59="В")+(K12:K59="П"))</f>
        <v>12</v>
      </c>
      <c r="L60" s="23" t="n">
        <f aca="false">SUMPRODUCT((L12:L59="Р")+(L12:L59="С")+(L12:L59="В")+(L12:L59="П"))</f>
        <v>16</v>
      </c>
      <c r="M60" s="23" t="n">
        <f aca="false">SUMPRODUCT((M12:M59="Р")+(M12:M59="С")+(M12:M59="В")+(M12:M59="П"))</f>
        <v>17</v>
      </c>
      <c r="N60" s="23" t="n">
        <f aca="false">SUMPRODUCT((N12:N59="Р")+(N12:N59="С")+(N12:N59="В")+(N12:N59="П"))</f>
        <v>13</v>
      </c>
      <c r="O60" s="23" t="n">
        <f aca="false">SUMPRODUCT((O12:O59="Р")+(O12:O59="С")+(O12:O59="В")+(O12:O59="П"))</f>
        <v>11</v>
      </c>
      <c r="P60" s="23" t="n">
        <f aca="false">SUMPRODUCT((P12:P59="Р")+(P12:P59="С")+(P12:P59="В")+(P12:P59="П"))</f>
        <v>11</v>
      </c>
      <c r="Q60" s="23" t="n">
        <f aca="false">SUMPRODUCT((Q12:Q59="Р")+(Q12:Q59="С")+(Q12:Q59="В")+(Q12:Q59="П"))</f>
        <v>11</v>
      </c>
      <c r="R60" s="23" t="n">
        <f aca="false">SUMPRODUCT((R12:R59="Р")+(R12:R59="С")+(R12:R59="В")+(R12:R59="П"))</f>
        <v>12</v>
      </c>
      <c r="S60" s="23" t="n">
        <f aca="false">SUMPRODUCT((S12:S59="Р")+(S12:S59="С")+(S12:S59="В")+(S12:S59="П"))</f>
        <v>16</v>
      </c>
      <c r="T60" s="23" t="n">
        <f aca="false">SUMPRODUCT((T12:T59="Р")+(T12:T59="С")+(T12:T59="В")+(T12:T59="П"))</f>
        <v>17</v>
      </c>
      <c r="U60" s="23" t="n">
        <f aca="false">SUMPRODUCT((U12:U59="Р")+(U12:U59="С")+(U12:U59="В")+(U12:U59="П"))</f>
        <v>13</v>
      </c>
      <c r="V60" s="23" t="n">
        <f aca="false">SUMPRODUCT((V12:V59="Р")+(V12:V59="С")+(V12:V59="В")+(V12:V59="П"))</f>
        <v>11</v>
      </c>
      <c r="W60" s="23" t="n">
        <f aca="false">SUMPRODUCT((W12:W59="Р")+(W12:W59="С")+(W12:W59="В")+(W12:W59="П"))</f>
        <v>11</v>
      </c>
      <c r="X60" s="23" t="n">
        <f aca="false">SUMPRODUCT((X12:X59="Р")+(X12:X59="С")+(X12:X59="В")+(X12:X59="П"))</f>
        <v>11</v>
      </c>
      <c r="Y60" s="23" t="n">
        <f aca="false">SUMPRODUCT((Y12:Y59="Р")+(Y12:Y59="С")+(Y12:Y59="В")+(Y12:Y59="П"))</f>
        <v>12</v>
      </c>
      <c r="Z60" s="23" t="n">
        <f aca="false">SUMPRODUCT((Z12:Z59="Р")+(Z12:Z59="С")+(Z12:Z59="В")+(Z12:Z59="П"))</f>
        <v>16</v>
      </c>
      <c r="AA60" s="23" t="n">
        <f aca="false">SUMPRODUCT((AA12:AA59="Р")+(AA12:AA59="С")+(AA12:AA59="В")+(AA12:AA59="П"))</f>
        <v>17</v>
      </c>
      <c r="AB60" s="23" t="n">
        <f aca="false">SUMPRODUCT((AB12:AB59="Р")+(AB12:AB59="С")+(AB12:AB59="В")+(AB12:AB59="П"))</f>
        <v>13</v>
      </c>
      <c r="AC60" s="23" t="n">
        <f aca="false">SUMPRODUCT((AC12:AC59="Р")+(AC12:AC59="С")+(AC12:AC59="В")+(AC12:AC59="П"))</f>
        <v>11</v>
      </c>
      <c r="AD60" s="23" t="n">
        <f aca="false">SUMPRODUCT((AD12:AD59="Р")+(AD12:AD59="С")+(AD12:AD59="В")+(AD12:AD59="П"))</f>
        <v>11</v>
      </c>
      <c r="AE60" s="23" t="n">
        <f aca="false">SUMPRODUCT((AE12:AE59="Р")+(AE12:AE59="С")+(AE12:AE59="В")+(AE12:AE59="П"))</f>
        <v>11</v>
      </c>
      <c r="AF60" s="23" t="n">
        <f aca="false">SUMPRODUCT((AF12:AF59="Р")+(AF12:AF59="С")+(AF12:AF59="В")+(AF12:AF59="П"))</f>
        <v>12</v>
      </c>
      <c r="AG60" s="23" t="n">
        <f aca="false">SUMPRODUCT((AG12:AG59="Р")+(AG12:AG59="С")+(AG12:AG59="В")+(AG12:AG59="П"))</f>
        <v>16</v>
      </c>
      <c r="AH60" s="23" t="n">
        <f aca="false">SUMPRODUCT((AH12:AH59="Р")+(AH12:AH59="С")+(AH12:AH59="В")+(AH12:AH59="П"))</f>
        <v>17</v>
      </c>
    </row>
    <row r="61" customFormat="false" ht="30" hidden="false" customHeight="true" outlineLevel="0" collapsed="false">
      <c r="C61" s="41" t="s">
        <v>177</v>
      </c>
      <c r="D61" s="42" t="n">
        <f aca="false">SUMPRODUCT((D12:D59="Р")*D$7)+SUMPRODUCT((D12:D59="С")*D$8)+SUMPRODUCT((D12:D59="В")*D$9)+SUMPRODUCT((D12:D59="П")*D$10)</f>
        <v>90</v>
      </c>
      <c r="E61" s="42" t="n">
        <f aca="false">SUMPRODUCT((E12:E59="Р")*E$7)+SUMPRODUCT((E12:E59="С")*E$8)+SUMPRODUCT((E12:E59="В")*E$9)+SUMPRODUCT((E12:E59="П")*E$10)</f>
        <v>119.5</v>
      </c>
      <c r="F61" s="42" t="n">
        <f aca="false">SUMPRODUCT((F12:F59="Р")*F$7)+SUMPRODUCT((F12:F59="С")*F$8)+SUMPRODUCT((F12:F59="В")*F$9)+SUMPRODUCT((F12:F59="П")*F$10)</f>
        <v>127.5</v>
      </c>
      <c r="G61" s="42" t="n">
        <f aca="false">SUMPRODUCT((G12:G59="Р")*G$7)+SUMPRODUCT((G12:G59="С")*G$8)+SUMPRODUCT((G12:G59="В")*G$9)+SUMPRODUCT((G12:G59="П")*G$10)</f>
        <v>96</v>
      </c>
      <c r="H61" s="42" t="n">
        <f aca="false">SUMPRODUCT((H12:H59="Р")*H$7)+SUMPRODUCT((H12:H59="С")*H$8)+SUMPRODUCT((H12:H59="В")*H$9)+SUMPRODUCT((H12:H59="П")*H$10)</f>
        <v>82.5</v>
      </c>
      <c r="I61" s="42" t="n">
        <f aca="false">SUMPRODUCT((I12:I59="Р")*I$7)+SUMPRODUCT((I12:I59="С")*I$8)+SUMPRODUCT((I12:I59="В")*I$9)+SUMPRODUCT((I12:I59="П")*I$10)</f>
        <v>82.5</v>
      </c>
      <c r="J61" s="42" t="n">
        <f aca="false">SUMPRODUCT((J12:J59="Р")*J$7)+SUMPRODUCT((J12:J59="С")*J$8)+SUMPRODUCT((J12:J59="В")*J$9)+SUMPRODUCT((J12:J59="П")*J$10)</f>
        <v>82.5</v>
      </c>
      <c r="K61" s="42" t="n">
        <f aca="false">SUMPRODUCT((K12:K59="Р")*K$7)+SUMPRODUCT((K12:K59="С")*K$8)+SUMPRODUCT((K12:K59="В")*K$9)+SUMPRODUCT((K12:K59="П")*K$10)</f>
        <v>90</v>
      </c>
      <c r="L61" s="42" t="n">
        <f aca="false">SUMPRODUCT((L12:L59="Р")*L$7)+SUMPRODUCT((L12:L59="С")*L$8)+SUMPRODUCT((L12:L59="В")*L$9)+SUMPRODUCT((L12:L59="П")*L$10)</f>
        <v>119.5</v>
      </c>
      <c r="M61" s="42" t="n">
        <f aca="false">SUMPRODUCT((M12:M59="Р")*M$7)+SUMPRODUCT((M12:M59="С")*M$8)+SUMPRODUCT((M12:M59="В")*M$9)+SUMPRODUCT((M12:M59="П")*M$10)</f>
        <v>127.5</v>
      </c>
      <c r="N61" s="42" t="n">
        <f aca="false">SUMPRODUCT((N12:N59="Р")*N$7)+SUMPRODUCT((N12:N59="С")*N$8)+SUMPRODUCT((N12:N59="В")*N$9)+SUMPRODUCT((N12:N59="П")*N$10)</f>
        <v>96</v>
      </c>
      <c r="O61" s="42" t="n">
        <f aca="false">SUMPRODUCT((O12:O59="Р")*O$7)+SUMPRODUCT((O12:O59="С")*O$8)+SUMPRODUCT((O12:O59="В")*O$9)+SUMPRODUCT((O12:O59="П")*O$10)</f>
        <v>82.5</v>
      </c>
      <c r="P61" s="42" t="n">
        <f aca="false">SUMPRODUCT((P12:P59="Р")*P$7)+SUMPRODUCT((P12:P59="С")*P$8)+SUMPRODUCT((P12:P59="В")*P$9)+SUMPRODUCT((P12:P59="П")*P$10)</f>
        <v>82.5</v>
      </c>
      <c r="Q61" s="42" t="n">
        <f aca="false">SUMPRODUCT((Q12:Q59="Р")*Q$7)+SUMPRODUCT((Q12:Q59="С")*Q$8)+SUMPRODUCT((Q12:Q59="В")*Q$9)+SUMPRODUCT((Q12:Q59="П")*Q$10)</f>
        <v>82.5</v>
      </c>
      <c r="R61" s="42" t="n">
        <f aca="false">SUMPRODUCT((R12:R59="Р")*R$7)+SUMPRODUCT((R12:R59="С")*R$8)+SUMPRODUCT((R12:R59="В")*R$9)+SUMPRODUCT((R12:R59="П")*R$10)</f>
        <v>90</v>
      </c>
      <c r="S61" s="42" t="n">
        <f aca="false">SUMPRODUCT((S12:S59="Р")*S$7)+SUMPRODUCT((S12:S59="С")*S$8)+SUMPRODUCT((S12:S59="В")*S$9)+SUMPRODUCT((S12:S59="П")*S$10)</f>
        <v>119.5</v>
      </c>
      <c r="T61" s="42" t="n">
        <f aca="false">SUMPRODUCT((T12:T59="Р")*T$7)+SUMPRODUCT((T12:T59="С")*T$8)+SUMPRODUCT((T12:T59="В")*T$9)+SUMPRODUCT((T12:T59="П")*T$10)</f>
        <v>127.5</v>
      </c>
      <c r="U61" s="42" t="n">
        <f aca="false">SUMPRODUCT((U12:U59="Р")*U$7)+SUMPRODUCT((U12:U59="С")*U$8)+SUMPRODUCT((U12:U59="В")*U$9)+SUMPRODUCT((U12:U59="П")*U$10)</f>
        <v>96</v>
      </c>
      <c r="V61" s="42" t="n">
        <f aca="false">SUMPRODUCT((V12:V59="Р")*V$7)+SUMPRODUCT((V12:V59="С")*V$8)+SUMPRODUCT((V12:V59="В")*V$9)+SUMPRODUCT((V12:V59="П")*V$10)</f>
        <v>82.5</v>
      </c>
      <c r="W61" s="42" t="n">
        <f aca="false">SUMPRODUCT((W12:W59="Р")*W$7)+SUMPRODUCT((W12:W59="С")*W$8)+SUMPRODUCT((W12:W59="В")*W$9)+SUMPRODUCT((W12:W59="П")*W$10)</f>
        <v>82.5</v>
      </c>
      <c r="X61" s="42" t="n">
        <f aca="false">SUMPRODUCT((X12:X59="Р")*X$7)+SUMPRODUCT((X12:X59="С")*X$8)+SUMPRODUCT((X12:X59="В")*X$9)+SUMPRODUCT((X12:X59="П")*X$10)</f>
        <v>82.5</v>
      </c>
      <c r="Y61" s="42" t="n">
        <f aca="false">SUMPRODUCT((Y12:Y59="Р")*Y$7)+SUMPRODUCT((Y12:Y59="С")*Y$8)+SUMPRODUCT((Y12:Y59="В")*Y$9)+SUMPRODUCT((Y12:Y59="П")*Y$10)</f>
        <v>90</v>
      </c>
      <c r="Z61" s="42" t="n">
        <f aca="false">SUMPRODUCT((Z12:Z59="Р")*Z$7)+SUMPRODUCT((Z12:Z59="С")*Z$8)+SUMPRODUCT((Z12:Z59="В")*Z$9)+SUMPRODUCT((Z12:Z59="П")*Z$10)</f>
        <v>119.5</v>
      </c>
      <c r="AA61" s="42" t="n">
        <f aca="false">SUMPRODUCT((AA12:AA59="Р")*AA$7)+SUMPRODUCT((AA12:AA59="С")*AA$8)+SUMPRODUCT((AA12:AA59="В")*AA$9)+SUMPRODUCT((AA12:AA59="П")*AA$10)</f>
        <v>127.5</v>
      </c>
      <c r="AB61" s="42" t="n">
        <f aca="false">SUMPRODUCT((AB12:AB59="Р")*AB$7)+SUMPRODUCT((AB12:AB59="С")*AB$8)+SUMPRODUCT((AB12:AB59="В")*AB$9)+SUMPRODUCT((AB12:AB59="П")*AB$10)</f>
        <v>96</v>
      </c>
      <c r="AC61" s="42" t="n">
        <f aca="false">SUMPRODUCT((AC12:AC59="Р")*AC$7)+SUMPRODUCT((AC12:AC59="С")*AC$8)+SUMPRODUCT((AC12:AC59="В")*AC$9)+SUMPRODUCT((AC12:AC59="П")*AC$10)</f>
        <v>82.5</v>
      </c>
      <c r="AD61" s="42" t="n">
        <f aca="false">SUMPRODUCT((AD12:AD59="Р")*AD$7)+SUMPRODUCT((AD12:AD59="С")*AD$8)+SUMPRODUCT((AD12:AD59="В")*AD$9)+SUMPRODUCT((AD12:AD59="П")*AD$10)</f>
        <v>82.5</v>
      </c>
      <c r="AE61" s="42" t="n">
        <f aca="false">SUMPRODUCT((AE12:AE59="Р")*AE$7)+SUMPRODUCT((AE12:AE59="С")*AE$8)+SUMPRODUCT((AE12:AE59="В")*AE$9)+SUMPRODUCT((AE12:AE59="П")*AE$10)</f>
        <v>82.5</v>
      </c>
      <c r="AF61" s="42" t="n">
        <f aca="false">SUMPRODUCT((AF12:AF59="Р")*AF$7)+SUMPRODUCT((AF12:AF59="С")*AF$8)+SUMPRODUCT((AF12:AF59="В")*AF$9)+SUMPRODUCT((AF12:AF59="П")*AF$10)</f>
        <v>90</v>
      </c>
      <c r="AG61" s="42" t="n">
        <f aca="false">SUMPRODUCT((AG12:AG59="Р")*AG$7)+SUMPRODUCT((AG12:AG59="С")*AG$8)+SUMPRODUCT((AG12:AG59="В")*AG$9)+SUMPRODUCT((AG12:AG59="П")*AG$10)</f>
        <v>119.5</v>
      </c>
      <c r="AH61" s="42" t="n">
        <f aca="false">SUMPRODUCT((AH12:AH59="Р")*AH$7)+SUMPRODUCT((AH12:AH59="С")*AH$8)+SUMPRODUCT((AH12:AH59="В")*AH$9)+SUMPRODUCT((AH12:AH59="П")*AH$10)</f>
        <v>127.5</v>
      </c>
      <c r="AI61" s="41" t="s">
        <v>178</v>
      </c>
      <c r="AJ61" s="43" t="n">
        <f aca="false">SUM(D61:AH61)</f>
        <v>3059</v>
      </c>
    </row>
  </sheetData>
  <mergeCells count="5">
    <mergeCell ref="AI4:AI6"/>
    <mergeCell ref="AJ4:AJ6"/>
    <mergeCell ref="AK4:AK6"/>
    <mergeCell ref="AL4:AL6"/>
    <mergeCell ref="AM4:AM6"/>
  </mergeCells>
  <conditionalFormatting sqref="D16:AH16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conditionalFormatting sqref="D17:AH17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1">
      <formula>0</formula>
    </cfRule>
  </conditionalFormatting>
  <conditionalFormatting sqref="D24:AH24">
    <cfRule type="cellIs" priority="6" operator="lessThan" aboveAverage="0" equalAverage="0" bottom="0" percent="0" rank="0" text="" dxfId="0">
      <formula>0</formula>
    </cfRule>
    <cfRule type="cellIs" priority="7" operator="greaterThan" aboveAverage="0" equalAverage="0" bottom="0" percent="0" rank="0" text="" dxfId="1">
      <formula>0</formula>
    </cfRule>
  </conditionalFormatting>
  <conditionalFormatting sqref="D25:AH25">
    <cfRule type="cellIs" priority="8" operator="lessThan" aboveAverage="0" equalAverage="0" bottom="0" percent="0" rank="0" text="" dxfId="0">
      <formula>0</formula>
    </cfRule>
    <cfRule type="cellIs" priority="9" operator="greaterThan" aboveAverage="0" equalAverage="0" bottom="0" percent="0" rank="0" text="" dxfId="1">
      <formula>0</formula>
    </cfRule>
  </conditionalFormatting>
  <conditionalFormatting sqref="D26:AH26">
    <cfRule type="cellIs" priority="10" operator="lessThan" aboveAverage="0" equalAverage="0" bottom="0" percent="0" rank="0" text="" dxfId="0">
      <formula>0</formula>
    </cfRule>
    <cfRule type="cellIs" priority="11" operator="greaterThan" aboveAverage="0" equalAverage="0" bottom="0" percent="0" rank="0" text="" dxfId="1">
      <formula>0</formula>
    </cfRule>
  </conditionalFormatting>
  <conditionalFormatting sqref="D33:AH33">
    <cfRule type="cellIs" priority="12" operator="lessThan" aboveAverage="0" equalAverage="0" bottom="0" percent="0" rank="0" text="" dxfId="0">
      <formula>0</formula>
    </cfRule>
    <cfRule type="cellIs" priority="13" operator="greaterThan" aboveAverage="0" equalAverage="0" bottom="0" percent="0" rank="0" text="" dxfId="1">
      <formula>0</formula>
    </cfRule>
  </conditionalFormatting>
  <conditionalFormatting sqref="D34:AH34">
    <cfRule type="cellIs" priority="14" operator="lessThan" aboveAverage="0" equalAverage="0" bottom="0" percent="0" rank="0" text="" dxfId="0">
      <formula>0</formula>
    </cfRule>
    <cfRule type="cellIs" priority="15" operator="greaterThan" aboveAverage="0" equalAverage="0" bottom="0" percent="0" rank="0" text="" dxfId="1">
      <formula>0</formula>
    </cfRule>
  </conditionalFormatting>
  <conditionalFormatting sqref="D35:AH35">
    <cfRule type="cellIs" priority="16" operator="lessThan" aboveAverage="0" equalAverage="0" bottom="0" percent="0" rank="0" text="" dxfId="0">
      <formula>0</formula>
    </cfRule>
    <cfRule type="cellIs" priority="17" operator="greaterThan" aboveAverage="0" equalAverage="0" bottom="0" percent="0" rank="0" text="" dxfId="1">
      <formula>0</formula>
    </cfRule>
  </conditionalFormatting>
  <conditionalFormatting sqref="D42:AH42">
    <cfRule type="cellIs" priority="18" operator="lessThan" aboveAverage="0" equalAverage="0" bottom="0" percent="0" rank="0" text="" dxfId="0">
      <formula>0</formula>
    </cfRule>
    <cfRule type="cellIs" priority="19" operator="greaterThan" aboveAverage="0" equalAverage="0" bottom="0" percent="0" rank="0" text="" dxfId="1">
      <formula>0</formula>
    </cfRule>
  </conditionalFormatting>
  <conditionalFormatting sqref="D43:AH43">
    <cfRule type="cellIs" priority="20" operator="lessThan" aboveAverage="0" equalAverage="0" bottom="0" percent="0" rank="0" text="" dxfId="0">
      <formula>0</formula>
    </cfRule>
    <cfRule type="cellIs" priority="21" operator="greaterThan" aboveAverage="0" equalAverage="0" bottom="0" percent="0" rank="0" text="" dxfId="1">
      <formula>0</formula>
    </cfRule>
  </conditionalFormatting>
  <conditionalFormatting sqref="D44:AH44">
    <cfRule type="cellIs" priority="22" operator="lessThan" aboveAverage="0" equalAverage="0" bottom="0" percent="0" rank="0" text="" dxfId="0">
      <formula>0</formula>
    </cfRule>
    <cfRule type="cellIs" priority="23" operator="greaterThan" aboveAverage="0" equalAverage="0" bottom="0" percent="0" rank="0" text="" dxfId="1">
      <formula>0</formula>
    </cfRule>
  </conditionalFormatting>
  <conditionalFormatting sqref="D49:AH49">
    <cfRule type="cellIs" priority="24" operator="lessThan" aboveAverage="0" equalAverage="0" bottom="0" percent="0" rank="0" text="" dxfId="0">
      <formula>0</formula>
    </cfRule>
    <cfRule type="cellIs" priority="25" operator="greaterThan" aboveAverage="0" equalAverage="0" bottom="0" percent="0" rank="0" text="" dxfId="1">
      <formula>0</formula>
    </cfRule>
  </conditionalFormatting>
  <conditionalFormatting sqref="D56:AH56">
    <cfRule type="cellIs" priority="26" operator="lessThan" aboveAverage="0" equalAverage="0" bottom="0" percent="0" rank="0" text="" dxfId="0">
      <formula>0</formula>
    </cfRule>
    <cfRule type="cellIs" priority="27" operator="greaterThan" aboveAverage="0" equalAverage="0" bottom="0" percent="0" rank="0" text="" dxfId="1">
      <formula>0</formula>
    </cfRule>
  </conditionalFormatting>
  <conditionalFormatting sqref="D57:AH57">
    <cfRule type="cellIs" priority="28" operator="lessThan" aboveAverage="0" equalAverage="0" bottom="0" percent="0" rank="0" text="" dxfId="0">
      <formula>0</formula>
    </cfRule>
    <cfRule type="cellIs" priority="29" operator="greaterThan" aboveAverage="0" equalAverage="0" bottom="0" percent="0" rank="0" text="" dxfId="1">
      <formula>0</formula>
    </cfRule>
  </conditionalFormatting>
  <conditionalFormatting sqref="D58:AH58">
    <cfRule type="cellIs" priority="30" operator="lessThan" aboveAverage="0" equalAverage="0" bottom="0" percent="0" rank="0" text="" dxfId="0">
      <formula>0</formula>
    </cfRule>
    <cfRule type="cellIs" priority="31" operator="greaterThan" aboveAverage="0" equalAverage="0" bottom="0" percent="0" rank="0" text="" dxfId="1">
      <formula>0</formula>
    </cfRule>
  </conditionalFormatting>
  <conditionalFormatting sqref="D12:AH59">
    <cfRule type="expression" priority="32" aboveAverage="0" equalAverage="0" bottom="0" percent="0" rank="0" text="" dxfId="2">
      <formula>D12="Р"</formula>
    </cfRule>
    <cfRule type="expression" priority="33" aboveAverage="0" equalAverage="0" bottom="0" percent="0" rank="0" text="" dxfId="3">
      <formula>D12="С"</formula>
    </cfRule>
    <cfRule type="expression" priority="34" aboveAverage="0" equalAverage="0" bottom="0" percent="0" rank="0" text="" dxfId="4">
      <formula>D12="В"</formula>
    </cfRule>
    <cfRule type="expression" priority="35" aboveAverage="0" equalAverage="0" bottom="0" percent="0" rank="0" text="" dxfId="5">
      <formula>D12="П"</formula>
    </cfRule>
  </conditionalFormatting>
  <conditionalFormatting sqref="AM12:AM59">
    <cfRule type="cellIs" priority="36" operator="greaterThan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2026-10-02T13:30:11Z</dcterms:created>
  <dc:creator>openpyxl</dc:creator>
  <dc:description/>
  <dc:language>en-US</dc:language>
  <cp:lastModifiedBy/>
  <dcterms:modified xsi:type="dcterms:W3CDTF">2026-10-02T13:30:11Z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